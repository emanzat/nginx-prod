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emanzat/Downloads/"/>
    </mc:Choice>
  </mc:AlternateContent>
  <xr:revisionPtr revIDLastSave="0" documentId="13_ncr:1_{8CE1DA1E-890C-E24E-A0D1-EACDD27F014B}" xr6:coauthVersionLast="47" xr6:coauthVersionMax="47" xr10:uidLastSave="{00000000-0000-0000-0000-000000000000}"/>
  <bookViews>
    <workbookView xWindow="0" yWindow="500" windowWidth="51200" windowHeight="26660" activeTab="4" xr2:uid="{00000000-000D-0000-FFFF-FFFF00000000}"/>
  </bookViews>
  <sheets>
    <sheet name="Legende" sheetId="1" r:id="rId1"/>
    <sheet name="Dynatrace_Extract" sheetId="2" r:id="rId2"/>
    <sheet name="Tarifs_ABS" sheetId="3" r:id="rId3"/>
    <sheet name="Flavors_Catalogue" sheetId="4" r:id="rId4"/>
    <sheet name="Clusters_ROKS" sheetId="5" r:id="rId5"/>
    <sheet name="Regles_Selection_Cluster" sheetId="6" r:id="rId6"/>
    <sheet name="Inventaire" sheetId="7" r:id="rId7"/>
    <sheet name="Projection_Clusters" sheetId="8" r:id="rId8"/>
    <sheet name="Consolidation_Mensuelle" sheetId="9" r:id="rId9"/>
    <sheet name="Dashboard" sheetId="10" r:id="rId10"/>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0" l="1"/>
  <c r="A23" i="10"/>
  <c r="A22" i="10"/>
  <c r="A21" i="10"/>
  <c r="A20" i="10"/>
  <c r="A19" i="10"/>
  <c r="A18" i="10"/>
  <c r="A17" i="10"/>
  <c r="A16" i="10"/>
  <c r="A15" i="10"/>
  <c r="A14" i="10"/>
  <c r="A13" i="10"/>
  <c r="B16" i="9"/>
  <c r="B15" i="9"/>
  <c r="B14" i="9"/>
  <c r="B13" i="9"/>
  <c r="B12" i="9"/>
  <c r="B11" i="9"/>
  <c r="B10" i="9"/>
  <c r="B9" i="9"/>
  <c r="B8" i="9"/>
  <c r="B7" i="9"/>
  <c r="B6" i="9"/>
  <c r="B5" i="9"/>
  <c r="H364" i="8"/>
  <c r="G364" i="8"/>
  <c r="C364" i="8"/>
  <c r="H363" i="8"/>
  <c r="G363" i="8"/>
  <c r="C363" i="8"/>
  <c r="H362" i="8"/>
  <c r="G362" i="8"/>
  <c r="C362" i="8"/>
  <c r="H361" i="8"/>
  <c r="G361" i="8"/>
  <c r="C361" i="8"/>
  <c r="H360" i="8"/>
  <c r="G360" i="8"/>
  <c r="C360" i="8"/>
  <c r="H359" i="8"/>
  <c r="G359" i="8"/>
  <c r="C359" i="8"/>
  <c r="H358" i="8"/>
  <c r="G358" i="8"/>
  <c r="C358" i="8"/>
  <c r="H357" i="8"/>
  <c r="G357" i="8"/>
  <c r="C357" i="8"/>
  <c r="H356" i="8"/>
  <c r="G356" i="8"/>
  <c r="C356" i="8"/>
  <c r="H355" i="8"/>
  <c r="G355" i="8"/>
  <c r="C355" i="8"/>
  <c r="H354" i="8"/>
  <c r="G354" i="8"/>
  <c r="C354" i="8"/>
  <c r="H353" i="8"/>
  <c r="G353" i="8"/>
  <c r="C353" i="8"/>
  <c r="H352" i="8"/>
  <c r="G352" i="8"/>
  <c r="C352" i="8"/>
  <c r="H351" i="8"/>
  <c r="G351" i="8"/>
  <c r="C351" i="8"/>
  <c r="H350" i="8"/>
  <c r="G350" i="8"/>
  <c r="C350" i="8"/>
  <c r="H349" i="8"/>
  <c r="G349" i="8"/>
  <c r="C349" i="8"/>
  <c r="H348" i="8"/>
  <c r="G348" i="8"/>
  <c r="C348" i="8"/>
  <c r="H347" i="8"/>
  <c r="G347" i="8"/>
  <c r="C347" i="8"/>
  <c r="H346" i="8"/>
  <c r="G346" i="8"/>
  <c r="C346" i="8"/>
  <c r="H345" i="8"/>
  <c r="G345" i="8"/>
  <c r="C345" i="8"/>
  <c r="H344" i="8"/>
  <c r="G344" i="8"/>
  <c r="C344" i="8"/>
  <c r="H343" i="8"/>
  <c r="G343" i="8"/>
  <c r="C343" i="8"/>
  <c r="H342" i="8"/>
  <c r="G342" i="8"/>
  <c r="C342" i="8"/>
  <c r="H341" i="8"/>
  <c r="G341" i="8"/>
  <c r="C341" i="8"/>
  <c r="H340" i="8"/>
  <c r="G340" i="8"/>
  <c r="C340" i="8"/>
  <c r="H339" i="8"/>
  <c r="G339" i="8"/>
  <c r="C339" i="8"/>
  <c r="H338" i="8"/>
  <c r="G338" i="8"/>
  <c r="C338" i="8"/>
  <c r="H337" i="8"/>
  <c r="G337" i="8"/>
  <c r="C337" i="8"/>
  <c r="H336" i="8"/>
  <c r="G336" i="8"/>
  <c r="C336" i="8"/>
  <c r="H335" i="8"/>
  <c r="G335" i="8"/>
  <c r="C335" i="8"/>
  <c r="H334" i="8"/>
  <c r="G334" i="8"/>
  <c r="C334" i="8"/>
  <c r="H333" i="8"/>
  <c r="G333" i="8"/>
  <c r="C333" i="8"/>
  <c r="H332" i="8"/>
  <c r="G332" i="8"/>
  <c r="C332" i="8"/>
  <c r="H331" i="8"/>
  <c r="G331" i="8"/>
  <c r="C331" i="8"/>
  <c r="H330" i="8"/>
  <c r="G330" i="8"/>
  <c r="C330" i="8"/>
  <c r="H329" i="8"/>
  <c r="G329" i="8"/>
  <c r="C329" i="8"/>
  <c r="H328" i="8"/>
  <c r="G328" i="8"/>
  <c r="C328" i="8"/>
  <c r="H327" i="8"/>
  <c r="G327" i="8"/>
  <c r="C327" i="8"/>
  <c r="H326" i="8"/>
  <c r="G326" i="8"/>
  <c r="C326" i="8"/>
  <c r="H325" i="8"/>
  <c r="G325" i="8"/>
  <c r="C325" i="8"/>
  <c r="H324" i="8"/>
  <c r="G324" i="8"/>
  <c r="C324" i="8"/>
  <c r="H323" i="8"/>
  <c r="G323" i="8"/>
  <c r="C323" i="8"/>
  <c r="H322" i="8"/>
  <c r="G322" i="8"/>
  <c r="C322" i="8"/>
  <c r="H321" i="8"/>
  <c r="G321" i="8"/>
  <c r="C321" i="8"/>
  <c r="H320" i="8"/>
  <c r="G320" i="8"/>
  <c r="C320" i="8"/>
  <c r="H319" i="8"/>
  <c r="G319" i="8"/>
  <c r="C319" i="8"/>
  <c r="H318" i="8"/>
  <c r="G318" i="8"/>
  <c r="C318" i="8"/>
  <c r="H317" i="8"/>
  <c r="G317" i="8"/>
  <c r="C317" i="8"/>
  <c r="H316" i="8"/>
  <c r="G316" i="8"/>
  <c r="C316" i="8"/>
  <c r="H315" i="8"/>
  <c r="G315" i="8"/>
  <c r="C315" i="8"/>
  <c r="H314" i="8"/>
  <c r="G314" i="8"/>
  <c r="C314" i="8"/>
  <c r="H313" i="8"/>
  <c r="G313" i="8"/>
  <c r="C313" i="8"/>
  <c r="H312" i="8"/>
  <c r="G312" i="8"/>
  <c r="C312" i="8"/>
  <c r="H311" i="8"/>
  <c r="G311" i="8"/>
  <c r="C311" i="8"/>
  <c r="H310" i="8"/>
  <c r="G310" i="8"/>
  <c r="C310" i="8"/>
  <c r="H309" i="8"/>
  <c r="G309" i="8"/>
  <c r="C309" i="8"/>
  <c r="H308" i="8"/>
  <c r="G308" i="8"/>
  <c r="C308" i="8"/>
  <c r="H307" i="8"/>
  <c r="G307" i="8"/>
  <c r="C307" i="8"/>
  <c r="H306" i="8"/>
  <c r="G306" i="8"/>
  <c r="C306" i="8"/>
  <c r="H305" i="8"/>
  <c r="G305" i="8"/>
  <c r="C305" i="8"/>
  <c r="H304" i="8"/>
  <c r="G304" i="8"/>
  <c r="C304" i="8"/>
  <c r="H303" i="8"/>
  <c r="G303" i="8"/>
  <c r="C303" i="8"/>
  <c r="H302" i="8"/>
  <c r="G302" i="8"/>
  <c r="C302" i="8"/>
  <c r="H301" i="8"/>
  <c r="G301" i="8"/>
  <c r="C301" i="8"/>
  <c r="H300" i="8"/>
  <c r="G300" i="8"/>
  <c r="C300" i="8"/>
  <c r="H299" i="8"/>
  <c r="G299" i="8"/>
  <c r="C299" i="8"/>
  <c r="H298" i="8"/>
  <c r="G298" i="8"/>
  <c r="C298" i="8"/>
  <c r="H297" i="8"/>
  <c r="G297" i="8"/>
  <c r="C297" i="8"/>
  <c r="H296" i="8"/>
  <c r="G296" i="8"/>
  <c r="C296" i="8"/>
  <c r="H295" i="8"/>
  <c r="G295" i="8"/>
  <c r="C295" i="8"/>
  <c r="H294" i="8"/>
  <c r="G294" i="8"/>
  <c r="C294" i="8"/>
  <c r="H293" i="8"/>
  <c r="G293" i="8"/>
  <c r="C293" i="8"/>
  <c r="H292" i="8"/>
  <c r="G292" i="8"/>
  <c r="C292" i="8"/>
  <c r="H291" i="8"/>
  <c r="G291" i="8"/>
  <c r="C291" i="8"/>
  <c r="H290" i="8"/>
  <c r="G290" i="8"/>
  <c r="C290" i="8"/>
  <c r="H289" i="8"/>
  <c r="G289" i="8"/>
  <c r="C289" i="8"/>
  <c r="H288" i="8"/>
  <c r="G288" i="8"/>
  <c r="C288" i="8"/>
  <c r="H287" i="8"/>
  <c r="G287" i="8"/>
  <c r="C287" i="8"/>
  <c r="H286" i="8"/>
  <c r="G286" i="8"/>
  <c r="C286" i="8"/>
  <c r="H285" i="8"/>
  <c r="G285" i="8"/>
  <c r="C285" i="8"/>
  <c r="H284" i="8"/>
  <c r="G284" i="8"/>
  <c r="C284" i="8"/>
  <c r="H283" i="8"/>
  <c r="G283" i="8"/>
  <c r="C283" i="8"/>
  <c r="H282" i="8"/>
  <c r="G282" i="8"/>
  <c r="C282" i="8"/>
  <c r="H281" i="8"/>
  <c r="G281" i="8"/>
  <c r="C281" i="8"/>
  <c r="H280" i="8"/>
  <c r="G280" i="8"/>
  <c r="C280" i="8"/>
  <c r="H279" i="8"/>
  <c r="G279" i="8"/>
  <c r="C279" i="8"/>
  <c r="H278" i="8"/>
  <c r="G278" i="8"/>
  <c r="C278" i="8"/>
  <c r="H277" i="8"/>
  <c r="G277" i="8"/>
  <c r="C277" i="8"/>
  <c r="H276" i="8"/>
  <c r="G276" i="8"/>
  <c r="C276" i="8"/>
  <c r="H275" i="8"/>
  <c r="G275" i="8"/>
  <c r="C275" i="8"/>
  <c r="H274" i="8"/>
  <c r="G274" i="8"/>
  <c r="C274" i="8"/>
  <c r="H273" i="8"/>
  <c r="G273" i="8"/>
  <c r="C273" i="8"/>
  <c r="H272" i="8"/>
  <c r="G272" i="8"/>
  <c r="C272" i="8"/>
  <c r="H271" i="8"/>
  <c r="G271" i="8"/>
  <c r="C271" i="8"/>
  <c r="H270" i="8"/>
  <c r="G270" i="8"/>
  <c r="C270" i="8"/>
  <c r="H269" i="8"/>
  <c r="G269" i="8"/>
  <c r="C269" i="8"/>
  <c r="H268" i="8"/>
  <c r="G268" i="8"/>
  <c r="C268" i="8"/>
  <c r="H267" i="8"/>
  <c r="G267" i="8"/>
  <c r="C267" i="8"/>
  <c r="H266" i="8"/>
  <c r="G266" i="8"/>
  <c r="C266" i="8"/>
  <c r="H265" i="8"/>
  <c r="G265" i="8"/>
  <c r="C265" i="8"/>
  <c r="H264" i="8"/>
  <c r="G264" i="8"/>
  <c r="C264" i="8"/>
  <c r="H263" i="8"/>
  <c r="G263" i="8"/>
  <c r="C263" i="8"/>
  <c r="H262" i="8"/>
  <c r="G262" i="8"/>
  <c r="C262" i="8"/>
  <c r="H261" i="8"/>
  <c r="G261" i="8"/>
  <c r="C261" i="8"/>
  <c r="H260" i="8"/>
  <c r="G260" i="8"/>
  <c r="C260" i="8"/>
  <c r="H259" i="8"/>
  <c r="G259" i="8"/>
  <c r="C259" i="8"/>
  <c r="H258" i="8"/>
  <c r="G258" i="8"/>
  <c r="C258" i="8"/>
  <c r="H257" i="8"/>
  <c r="G257" i="8"/>
  <c r="C257" i="8"/>
  <c r="H256" i="8"/>
  <c r="G256" i="8"/>
  <c r="C256" i="8"/>
  <c r="H255" i="8"/>
  <c r="G255" i="8"/>
  <c r="C255" i="8"/>
  <c r="H254" i="8"/>
  <c r="G254" i="8"/>
  <c r="C254" i="8"/>
  <c r="H253" i="8"/>
  <c r="G253" i="8"/>
  <c r="C253" i="8"/>
  <c r="H252" i="8"/>
  <c r="G252" i="8"/>
  <c r="C252" i="8"/>
  <c r="H251" i="8"/>
  <c r="G251" i="8"/>
  <c r="C251" i="8"/>
  <c r="H250" i="8"/>
  <c r="G250" i="8"/>
  <c r="C250" i="8"/>
  <c r="H249" i="8"/>
  <c r="G249" i="8"/>
  <c r="C249" i="8"/>
  <c r="H248" i="8"/>
  <c r="G248" i="8"/>
  <c r="C248" i="8"/>
  <c r="H247" i="8"/>
  <c r="G247" i="8"/>
  <c r="C247" i="8"/>
  <c r="H246" i="8"/>
  <c r="G246" i="8"/>
  <c r="C246" i="8"/>
  <c r="H245" i="8"/>
  <c r="G245" i="8"/>
  <c r="C245" i="8"/>
  <c r="H244" i="8"/>
  <c r="G244" i="8"/>
  <c r="C244" i="8"/>
  <c r="H243" i="8"/>
  <c r="G243" i="8"/>
  <c r="C243" i="8"/>
  <c r="H242" i="8"/>
  <c r="G242" i="8"/>
  <c r="C242" i="8"/>
  <c r="H241" i="8"/>
  <c r="G241" i="8"/>
  <c r="C241" i="8"/>
  <c r="H240" i="8"/>
  <c r="G240" i="8"/>
  <c r="C240" i="8"/>
  <c r="H239" i="8"/>
  <c r="G239" i="8"/>
  <c r="C239" i="8"/>
  <c r="H238" i="8"/>
  <c r="G238" i="8"/>
  <c r="C238" i="8"/>
  <c r="H237" i="8"/>
  <c r="G237" i="8"/>
  <c r="C237" i="8"/>
  <c r="H236" i="8"/>
  <c r="G236" i="8"/>
  <c r="C236" i="8"/>
  <c r="H235" i="8"/>
  <c r="G235" i="8"/>
  <c r="C235" i="8"/>
  <c r="H234" i="8"/>
  <c r="G234" i="8"/>
  <c r="C234" i="8"/>
  <c r="H233" i="8"/>
  <c r="G233" i="8"/>
  <c r="C233" i="8"/>
  <c r="H232" i="8"/>
  <c r="G232" i="8"/>
  <c r="C232" i="8"/>
  <c r="H231" i="8"/>
  <c r="G231" i="8"/>
  <c r="C231" i="8"/>
  <c r="H230" i="8"/>
  <c r="G230" i="8"/>
  <c r="C230" i="8"/>
  <c r="H229" i="8"/>
  <c r="G229" i="8"/>
  <c r="C229" i="8"/>
  <c r="H228" i="8"/>
  <c r="G228" i="8"/>
  <c r="C228" i="8"/>
  <c r="H227" i="8"/>
  <c r="G227" i="8"/>
  <c r="C227" i="8"/>
  <c r="H226" i="8"/>
  <c r="G226" i="8"/>
  <c r="C226" i="8"/>
  <c r="H225" i="8"/>
  <c r="G225" i="8"/>
  <c r="C225" i="8"/>
  <c r="H224" i="8"/>
  <c r="G224" i="8"/>
  <c r="C224" i="8"/>
  <c r="H223" i="8"/>
  <c r="G223" i="8"/>
  <c r="C223" i="8"/>
  <c r="H222" i="8"/>
  <c r="G222" i="8"/>
  <c r="C222" i="8"/>
  <c r="H221" i="8"/>
  <c r="G221" i="8"/>
  <c r="C221" i="8"/>
  <c r="H220" i="8"/>
  <c r="G220" i="8"/>
  <c r="C220" i="8"/>
  <c r="H219" i="8"/>
  <c r="G219" i="8"/>
  <c r="C219" i="8"/>
  <c r="H218" i="8"/>
  <c r="G218" i="8"/>
  <c r="C218" i="8"/>
  <c r="H217" i="8"/>
  <c r="G217" i="8"/>
  <c r="C217" i="8"/>
  <c r="H216" i="8"/>
  <c r="G216" i="8"/>
  <c r="C216" i="8"/>
  <c r="H215" i="8"/>
  <c r="G215" i="8"/>
  <c r="C215" i="8"/>
  <c r="H214" i="8"/>
  <c r="G214" i="8"/>
  <c r="C214" i="8"/>
  <c r="H213" i="8"/>
  <c r="G213" i="8"/>
  <c r="C213" i="8"/>
  <c r="H212" i="8"/>
  <c r="G212" i="8"/>
  <c r="C212" i="8"/>
  <c r="H211" i="8"/>
  <c r="G211" i="8"/>
  <c r="C211" i="8"/>
  <c r="H210" i="8"/>
  <c r="G210" i="8"/>
  <c r="C210" i="8"/>
  <c r="H209" i="8"/>
  <c r="G209" i="8"/>
  <c r="C209" i="8"/>
  <c r="H208" i="8"/>
  <c r="G208" i="8"/>
  <c r="C208" i="8"/>
  <c r="H207" i="8"/>
  <c r="G207" i="8"/>
  <c r="C207" i="8"/>
  <c r="H206" i="8"/>
  <c r="G206" i="8"/>
  <c r="C206" i="8"/>
  <c r="H205" i="8"/>
  <c r="G205" i="8"/>
  <c r="C205" i="8"/>
  <c r="H204" i="8"/>
  <c r="G204" i="8"/>
  <c r="C204" i="8"/>
  <c r="H203" i="8"/>
  <c r="G203" i="8"/>
  <c r="C203" i="8"/>
  <c r="H202" i="8"/>
  <c r="G202" i="8"/>
  <c r="C202" i="8"/>
  <c r="H201" i="8"/>
  <c r="G201" i="8"/>
  <c r="C201" i="8"/>
  <c r="H200" i="8"/>
  <c r="G200" i="8"/>
  <c r="C200" i="8"/>
  <c r="H199" i="8"/>
  <c r="G199" i="8"/>
  <c r="C199" i="8"/>
  <c r="H198" i="8"/>
  <c r="G198" i="8"/>
  <c r="C198" i="8"/>
  <c r="H197" i="8"/>
  <c r="G197" i="8"/>
  <c r="C197" i="8"/>
  <c r="H196" i="8"/>
  <c r="G196" i="8"/>
  <c r="C196" i="8"/>
  <c r="H195" i="8"/>
  <c r="G195" i="8"/>
  <c r="C195" i="8"/>
  <c r="H194" i="8"/>
  <c r="G194" i="8"/>
  <c r="C194" i="8"/>
  <c r="H193" i="8"/>
  <c r="G193" i="8"/>
  <c r="C193" i="8"/>
  <c r="H192" i="8"/>
  <c r="G192" i="8"/>
  <c r="C192" i="8"/>
  <c r="H191" i="8"/>
  <c r="G191" i="8"/>
  <c r="C191" i="8"/>
  <c r="H190" i="8"/>
  <c r="G190" i="8"/>
  <c r="C190" i="8"/>
  <c r="H189" i="8"/>
  <c r="G189" i="8"/>
  <c r="C189" i="8"/>
  <c r="H188" i="8"/>
  <c r="G188" i="8"/>
  <c r="C188" i="8"/>
  <c r="H187" i="8"/>
  <c r="G187" i="8"/>
  <c r="C187" i="8"/>
  <c r="H186" i="8"/>
  <c r="G186" i="8"/>
  <c r="C186" i="8"/>
  <c r="H185" i="8"/>
  <c r="G185" i="8"/>
  <c r="C185" i="8"/>
  <c r="H184" i="8"/>
  <c r="G184" i="8"/>
  <c r="C184" i="8"/>
  <c r="H183" i="8"/>
  <c r="G183" i="8"/>
  <c r="C183" i="8"/>
  <c r="H182" i="8"/>
  <c r="G182" i="8"/>
  <c r="C182" i="8"/>
  <c r="H181" i="8"/>
  <c r="G181" i="8"/>
  <c r="C181" i="8"/>
  <c r="H180" i="8"/>
  <c r="G180" i="8"/>
  <c r="C180" i="8"/>
  <c r="H179" i="8"/>
  <c r="G179" i="8"/>
  <c r="C179" i="8"/>
  <c r="H178" i="8"/>
  <c r="G178" i="8"/>
  <c r="C178" i="8"/>
  <c r="H177" i="8"/>
  <c r="G177" i="8"/>
  <c r="C177" i="8"/>
  <c r="H176" i="8"/>
  <c r="G176" i="8"/>
  <c r="C176" i="8"/>
  <c r="H175" i="8"/>
  <c r="G175" i="8"/>
  <c r="C175" i="8"/>
  <c r="H174" i="8"/>
  <c r="G174" i="8"/>
  <c r="C174" i="8"/>
  <c r="H173" i="8"/>
  <c r="G173" i="8"/>
  <c r="C173" i="8"/>
  <c r="H172" i="8"/>
  <c r="G172" i="8"/>
  <c r="C172" i="8"/>
  <c r="H171" i="8"/>
  <c r="G171" i="8"/>
  <c r="C171" i="8"/>
  <c r="H170" i="8"/>
  <c r="G170" i="8"/>
  <c r="C170" i="8"/>
  <c r="H169" i="8"/>
  <c r="G169" i="8"/>
  <c r="C169" i="8"/>
  <c r="H168" i="8"/>
  <c r="G168" i="8"/>
  <c r="C168" i="8"/>
  <c r="H167" i="8"/>
  <c r="G167" i="8"/>
  <c r="C167" i="8"/>
  <c r="H166" i="8"/>
  <c r="G166" i="8"/>
  <c r="C166" i="8"/>
  <c r="H165" i="8"/>
  <c r="G165" i="8"/>
  <c r="C165" i="8"/>
  <c r="H164" i="8"/>
  <c r="G164" i="8"/>
  <c r="C164" i="8"/>
  <c r="H163" i="8"/>
  <c r="G163" i="8"/>
  <c r="C163" i="8"/>
  <c r="H162" i="8"/>
  <c r="G162" i="8"/>
  <c r="C162" i="8"/>
  <c r="H161" i="8"/>
  <c r="G161" i="8"/>
  <c r="C161" i="8"/>
  <c r="H160" i="8"/>
  <c r="G160" i="8"/>
  <c r="C160" i="8"/>
  <c r="H159" i="8"/>
  <c r="G159" i="8"/>
  <c r="C159" i="8"/>
  <c r="H158" i="8"/>
  <c r="G158" i="8"/>
  <c r="C158" i="8"/>
  <c r="H157" i="8"/>
  <c r="G157" i="8"/>
  <c r="C157" i="8"/>
  <c r="H156" i="8"/>
  <c r="G156" i="8"/>
  <c r="C156" i="8"/>
  <c r="H155" i="8"/>
  <c r="G155" i="8"/>
  <c r="C155" i="8"/>
  <c r="H154" i="8"/>
  <c r="G154" i="8"/>
  <c r="C154" i="8"/>
  <c r="H153" i="8"/>
  <c r="G153" i="8"/>
  <c r="C153" i="8"/>
  <c r="H152" i="8"/>
  <c r="G152" i="8"/>
  <c r="C152" i="8"/>
  <c r="H151" i="8"/>
  <c r="G151" i="8"/>
  <c r="C151" i="8"/>
  <c r="H150" i="8"/>
  <c r="G150" i="8"/>
  <c r="C150" i="8"/>
  <c r="H149" i="8"/>
  <c r="G149" i="8"/>
  <c r="C149" i="8"/>
  <c r="H148" i="8"/>
  <c r="G148" i="8"/>
  <c r="C148" i="8"/>
  <c r="H147" i="8"/>
  <c r="G147" i="8"/>
  <c r="C147" i="8"/>
  <c r="H146" i="8"/>
  <c r="G146" i="8"/>
  <c r="C146" i="8"/>
  <c r="H145" i="8"/>
  <c r="G145" i="8"/>
  <c r="C145" i="8"/>
  <c r="H144" i="8"/>
  <c r="G144" i="8"/>
  <c r="C144" i="8"/>
  <c r="H143" i="8"/>
  <c r="G143" i="8"/>
  <c r="C143" i="8"/>
  <c r="H142" i="8"/>
  <c r="G142" i="8"/>
  <c r="C142" i="8"/>
  <c r="H141" i="8"/>
  <c r="G141" i="8"/>
  <c r="C141" i="8"/>
  <c r="H140" i="8"/>
  <c r="G140" i="8"/>
  <c r="C140" i="8"/>
  <c r="H139" i="8"/>
  <c r="G139" i="8"/>
  <c r="C139" i="8"/>
  <c r="H138" i="8"/>
  <c r="G138" i="8"/>
  <c r="C138" i="8"/>
  <c r="H137" i="8"/>
  <c r="G137" i="8"/>
  <c r="C137" i="8"/>
  <c r="H136" i="8"/>
  <c r="G136" i="8"/>
  <c r="C136" i="8"/>
  <c r="H135" i="8"/>
  <c r="G135" i="8"/>
  <c r="C135" i="8"/>
  <c r="H134" i="8"/>
  <c r="G134" i="8"/>
  <c r="C134" i="8"/>
  <c r="H133" i="8"/>
  <c r="G133" i="8"/>
  <c r="C133" i="8"/>
  <c r="H132" i="8"/>
  <c r="G132" i="8"/>
  <c r="C132" i="8"/>
  <c r="H131" i="8"/>
  <c r="G131" i="8"/>
  <c r="C131" i="8"/>
  <c r="H130" i="8"/>
  <c r="G130" i="8"/>
  <c r="C130" i="8"/>
  <c r="H129" i="8"/>
  <c r="G129" i="8"/>
  <c r="C129" i="8"/>
  <c r="H128" i="8"/>
  <c r="G128" i="8"/>
  <c r="C128" i="8"/>
  <c r="H127" i="8"/>
  <c r="G127" i="8"/>
  <c r="C127" i="8"/>
  <c r="H126" i="8"/>
  <c r="G126" i="8"/>
  <c r="C126" i="8"/>
  <c r="H125" i="8"/>
  <c r="G125" i="8"/>
  <c r="C125" i="8"/>
  <c r="H124" i="8"/>
  <c r="G124" i="8"/>
  <c r="C124" i="8"/>
  <c r="H123" i="8"/>
  <c r="G123" i="8"/>
  <c r="C123" i="8"/>
  <c r="H122" i="8"/>
  <c r="G122" i="8"/>
  <c r="C122" i="8"/>
  <c r="H121" i="8"/>
  <c r="G121" i="8"/>
  <c r="C121" i="8"/>
  <c r="H120" i="8"/>
  <c r="G120" i="8"/>
  <c r="C120" i="8"/>
  <c r="H119" i="8"/>
  <c r="G119" i="8"/>
  <c r="C119" i="8"/>
  <c r="H118" i="8"/>
  <c r="G118" i="8"/>
  <c r="C118" i="8"/>
  <c r="H117" i="8"/>
  <c r="G117" i="8"/>
  <c r="C117" i="8"/>
  <c r="H116" i="8"/>
  <c r="G116" i="8"/>
  <c r="C116" i="8"/>
  <c r="H115" i="8"/>
  <c r="G115" i="8"/>
  <c r="C115" i="8"/>
  <c r="H114" i="8"/>
  <c r="G114" i="8"/>
  <c r="C114" i="8"/>
  <c r="H113" i="8"/>
  <c r="G113" i="8"/>
  <c r="C113" i="8"/>
  <c r="H112" i="8"/>
  <c r="G112" i="8"/>
  <c r="C112" i="8"/>
  <c r="H111" i="8"/>
  <c r="G111" i="8"/>
  <c r="C111" i="8"/>
  <c r="H110" i="8"/>
  <c r="G110" i="8"/>
  <c r="C110" i="8"/>
  <c r="H109" i="8"/>
  <c r="G109" i="8"/>
  <c r="C109" i="8"/>
  <c r="H108" i="8"/>
  <c r="G108" i="8"/>
  <c r="C108" i="8"/>
  <c r="H107" i="8"/>
  <c r="G107" i="8"/>
  <c r="C107" i="8"/>
  <c r="H106" i="8"/>
  <c r="G106" i="8"/>
  <c r="C106" i="8"/>
  <c r="H105" i="8"/>
  <c r="G105" i="8"/>
  <c r="C105" i="8"/>
  <c r="H104" i="8"/>
  <c r="G104" i="8"/>
  <c r="C104" i="8"/>
  <c r="H103" i="8"/>
  <c r="G103" i="8"/>
  <c r="C103" i="8"/>
  <c r="H102" i="8"/>
  <c r="G102" i="8"/>
  <c r="C102" i="8"/>
  <c r="H101" i="8"/>
  <c r="G101" i="8"/>
  <c r="C101" i="8"/>
  <c r="H100" i="8"/>
  <c r="G100" i="8"/>
  <c r="C100" i="8"/>
  <c r="H99" i="8"/>
  <c r="G99" i="8"/>
  <c r="C99" i="8"/>
  <c r="H98" i="8"/>
  <c r="G98" i="8"/>
  <c r="C98" i="8"/>
  <c r="H97" i="8"/>
  <c r="G97" i="8"/>
  <c r="C97" i="8"/>
  <c r="H96" i="8"/>
  <c r="G96" i="8"/>
  <c r="C96" i="8"/>
  <c r="H95" i="8"/>
  <c r="G95" i="8"/>
  <c r="C95" i="8"/>
  <c r="H94" i="8"/>
  <c r="G94" i="8"/>
  <c r="C94" i="8"/>
  <c r="H93" i="8"/>
  <c r="G93" i="8"/>
  <c r="C93" i="8"/>
  <c r="H92" i="8"/>
  <c r="G92" i="8"/>
  <c r="C92" i="8"/>
  <c r="H91" i="8"/>
  <c r="G91" i="8"/>
  <c r="C91" i="8"/>
  <c r="H90" i="8"/>
  <c r="G90" i="8"/>
  <c r="C90" i="8"/>
  <c r="H89" i="8"/>
  <c r="G89" i="8"/>
  <c r="C89" i="8"/>
  <c r="H88" i="8"/>
  <c r="G88" i="8"/>
  <c r="C88" i="8"/>
  <c r="H87" i="8"/>
  <c r="G87" i="8"/>
  <c r="C87" i="8"/>
  <c r="H86" i="8"/>
  <c r="G86" i="8"/>
  <c r="C86" i="8"/>
  <c r="H85" i="8"/>
  <c r="G85" i="8"/>
  <c r="C85" i="8"/>
  <c r="H84" i="8"/>
  <c r="G84" i="8"/>
  <c r="C84" i="8"/>
  <c r="H83" i="8"/>
  <c r="G83" i="8"/>
  <c r="C83" i="8"/>
  <c r="H82" i="8"/>
  <c r="G82" i="8"/>
  <c r="C82" i="8"/>
  <c r="H81" i="8"/>
  <c r="G81" i="8"/>
  <c r="C81" i="8"/>
  <c r="H80" i="8"/>
  <c r="G80" i="8"/>
  <c r="C80" i="8"/>
  <c r="H79" i="8"/>
  <c r="G79" i="8"/>
  <c r="C79" i="8"/>
  <c r="H78" i="8"/>
  <c r="G78" i="8"/>
  <c r="C78" i="8"/>
  <c r="H77" i="8"/>
  <c r="G77" i="8"/>
  <c r="C77" i="8"/>
  <c r="H76" i="8"/>
  <c r="G76" i="8"/>
  <c r="C76" i="8"/>
  <c r="H75" i="8"/>
  <c r="G75" i="8"/>
  <c r="C75" i="8"/>
  <c r="H74" i="8"/>
  <c r="G74" i="8"/>
  <c r="C74" i="8"/>
  <c r="H73" i="8"/>
  <c r="G73" i="8"/>
  <c r="C73" i="8"/>
  <c r="H72" i="8"/>
  <c r="G72" i="8"/>
  <c r="C72" i="8"/>
  <c r="H71" i="8"/>
  <c r="G71" i="8"/>
  <c r="C71" i="8"/>
  <c r="H70" i="8"/>
  <c r="G70" i="8"/>
  <c r="C70" i="8"/>
  <c r="H69" i="8"/>
  <c r="G69" i="8"/>
  <c r="C69" i="8"/>
  <c r="H68" i="8"/>
  <c r="G68" i="8"/>
  <c r="C68" i="8"/>
  <c r="H67" i="8"/>
  <c r="G67" i="8"/>
  <c r="C67" i="8"/>
  <c r="H66" i="8"/>
  <c r="G66" i="8"/>
  <c r="C66" i="8"/>
  <c r="H65" i="8"/>
  <c r="G65" i="8"/>
  <c r="C65" i="8"/>
  <c r="H64" i="8"/>
  <c r="G64" i="8"/>
  <c r="C64" i="8"/>
  <c r="H63" i="8"/>
  <c r="G63" i="8"/>
  <c r="C63" i="8"/>
  <c r="H62" i="8"/>
  <c r="G62" i="8"/>
  <c r="C62" i="8"/>
  <c r="H61" i="8"/>
  <c r="G61" i="8"/>
  <c r="C61" i="8"/>
  <c r="H60" i="8"/>
  <c r="G60" i="8"/>
  <c r="C60" i="8"/>
  <c r="H59" i="8"/>
  <c r="G59" i="8"/>
  <c r="C59" i="8"/>
  <c r="H58" i="8"/>
  <c r="G58" i="8"/>
  <c r="C58" i="8"/>
  <c r="H57" i="8"/>
  <c r="G57" i="8"/>
  <c r="C57" i="8"/>
  <c r="H56" i="8"/>
  <c r="G56" i="8"/>
  <c r="C56" i="8"/>
  <c r="H55" i="8"/>
  <c r="G55" i="8"/>
  <c r="C55" i="8"/>
  <c r="H54" i="8"/>
  <c r="G54" i="8"/>
  <c r="C54" i="8"/>
  <c r="H53" i="8"/>
  <c r="G53" i="8"/>
  <c r="C53" i="8"/>
  <c r="H52" i="8"/>
  <c r="G52" i="8"/>
  <c r="C52" i="8"/>
  <c r="H51" i="8"/>
  <c r="G51" i="8"/>
  <c r="C51" i="8"/>
  <c r="H50" i="8"/>
  <c r="G50" i="8"/>
  <c r="C50" i="8"/>
  <c r="H49" i="8"/>
  <c r="G49" i="8"/>
  <c r="C49" i="8"/>
  <c r="H48" i="8"/>
  <c r="G48" i="8"/>
  <c r="C48" i="8"/>
  <c r="H47" i="8"/>
  <c r="G47" i="8"/>
  <c r="C47" i="8"/>
  <c r="H46" i="8"/>
  <c r="G46" i="8"/>
  <c r="C46" i="8"/>
  <c r="H45" i="8"/>
  <c r="G45" i="8"/>
  <c r="C45" i="8"/>
  <c r="H44" i="8"/>
  <c r="G44" i="8"/>
  <c r="C44" i="8"/>
  <c r="H43" i="8"/>
  <c r="G43" i="8"/>
  <c r="C43" i="8"/>
  <c r="H42" i="8"/>
  <c r="G42" i="8"/>
  <c r="C42" i="8"/>
  <c r="H41" i="8"/>
  <c r="G41" i="8"/>
  <c r="C41" i="8"/>
  <c r="H40" i="8"/>
  <c r="G40" i="8"/>
  <c r="C40" i="8"/>
  <c r="H39" i="8"/>
  <c r="G39" i="8"/>
  <c r="C39" i="8"/>
  <c r="H38" i="8"/>
  <c r="G38" i="8"/>
  <c r="C38" i="8"/>
  <c r="H37" i="8"/>
  <c r="G37" i="8"/>
  <c r="C37" i="8"/>
  <c r="H36" i="8"/>
  <c r="G36" i="8"/>
  <c r="C36" i="8"/>
  <c r="H35" i="8"/>
  <c r="G35" i="8"/>
  <c r="C35" i="8"/>
  <c r="H34" i="8"/>
  <c r="G34" i="8"/>
  <c r="C34" i="8"/>
  <c r="H33" i="8"/>
  <c r="G33" i="8"/>
  <c r="C33" i="8"/>
  <c r="H32" i="8"/>
  <c r="G32" i="8"/>
  <c r="C32" i="8"/>
  <c r="H31" i="8"/>
  <c r="G31" i="8"/>
  <c r="C31" i="8"/>
  <c r="H30" i="8"/>
  <c r="G30" i="8"/>
  <c r="C30" i="8"/>
  <c r="H29" i="8"/>
  <c r="G29" i="8"/>
  <c r="C29" i="8"/>
  <c r="H28" i="8"/>
  <c r="G28" i="8"/>
  <c r="C28" i="8"/>
  <c r="H27" i="8"/>
  <c r="G27" i="8"/>
  <c r="C27" i="8"/>
  <c r="H26" i="8"/>
  <c r="G26" i="8"/>
  <c r="C26" i="8"/>
  <c r="H25" i="8"/>
  <c r="G25" i="8"/>
  <c r="C25" i="8"/>
  <c r="H24" i="8"/>
  <c r="G24" i="8"/>
  <c r="C24" i="8"/>
  <c r="H23" i="8"/>
  <c r="G23" i="8"/>
  <c r="C23" i="8"/>
  <c r="H22" i="8"/>
  <c r="G22" i="8"/>
  <c r="C22" i="8"/>
  <c r="H21" i="8"/>
  <c r="G21" i="8"/>
  <c r="C21" i="8"/>
  <c r="H20" i="8"/>
  <c r="G20" i="8"/>
  <c r="C20" i="8"/>
  <c r="H19" i="8"/>
  <c r="G19" i="8"/>
  <c r="C19" i="8"/>
  <c r="H18" i="8"/>
  <c r="G18" i="8"/>
  <c r="C18" i="8"/>
  <c r="H17" i="8"/>
  <c r="G17" i="8"/>
  <c r="C17" i="8"/>
  <c r="H16" i="8"/>
  <c r="G16" i="8"/>
  <c r="C16" i="8"/>
  <c r="H15" i="8"/>
  <c r="G15" i="8"/>
  <c r="C15" i="8"/>
  <c r="H14" i="8"/>
  <c r="G14" i="8"/>
  <c r="C14" i="8"/>
  <c r="H13" i="8"/>
  <c r="G13" i="8"/>
  <c r="C13" i="8"/>
  <c r="H12" i="8"/>
  <c r="G12" i="8"/>
  <c r="C12" i="8"/>
  <c r="H11" i="8"/>
  <c r="G11" i="8"/>
  <c r="C11" i="8"/>
  <c r="H10" i="8"/>
  <c r="G10" i="8"/>
  <c r="C10" i="8"/>
  <c r="H9" i="8"/>
  <c r="G9" i="8"/>
  <c r="C9" i="8"/>
  <c r="H8" i="8"/>
  <c r="G8" i="8"/>
  <c r="C8" i="8"/>
  <c r="H7" i="8"/>
  <c r="G7" i="8"/>
  <c r="C7" i="8"/>
  <c r="H6" i="8"/>
  <c r="G6" i="8"/>
  <c r="C6" i="8"/>
  <c r="H5" i="8"/>
  <c r="G5" i="8"/>
  <c r="C5" i="8"/>
  <c r="X14" i="7"/>
  <c r="Y14" i="7" s="1"/>
  <c r="W14" i="7"/>
  <c r="U14" i="7"/>
  <c r="R14" i="7"/>
  <c r="T14" i="7" s="1"/>
  <c r="Q14" i="7"/>
  <c r="S14" i="7" s="1"/>
  <c r="P14" i="7"/>
  <c r="Y13" i="7"/>
  <c r="X13" i="7"/>
  <c r="W13" i="7"/>
  <c r="U13" i="7"/>
  <c r="T13" i="7"/>
  <c r="S13" i="7"/>
  <c r="R13" i="7"/>
  <c r="Q13" i="7"/>
  <c r="P13" i="7"/>
  <c r="X12" i="7"/>
  <c r="Y12" i="7" s="1"/>
  <c r="W12" i="7"/>
  <c r="U12" i="7"/>
  <c r="T12" i="7"/>
  <c r="R12" i="7"/>
  <c r="Q12" i="7"/>
  <c r="S12" i="7" s="1"/>
  <c r="P12" i="7"/>
  <c r="Y11" i="7"/>
  <c r="AC11" i="7" s="1"/>
  <c r="X11" i="7"/>
  <c r="W11" i="7"/>
  <c r="U11" i="7"/>
  <c r="R11" i="7"/>
  <c r="T11" i="7" s="1"/>
  <c r="Q11" i="7"/>
  <c r="S11" i="7" s="1"/>
  <c r="P11" i="7"/>
  <c r="X10" i="7"/>
  <c r="Y10" i="7" s="1"/>
  <c r="W10" i="7"/>
  <c r="U10" i="7"/>
  <c r="T10" i="7"/>
  <c r="S10" i="7"/>
  <c r="R10" i="7"/>
  <c r="Q10" i="7"/>
  <c r="P10" i="7"/>
  <c r="X9" i="7"/>
  <c r="Y9" i="7" s="1"/>
  <c r="W9" i="7"/>
  <c r="U9" i="7"/>
  <c r="R9" i="7"/>
  <c r="T9" i="7" s="1"/>
  <c r="Q9" i="7"/>
  <c r="S9" i="7" s="1"/>
  <c r="P9" i="7"/>
  <c r="X8" i="7"/>
  <c r="Y8" i="7" s="1"/>
  <c r="W8" i="7"/>
  <c r="U8" i="7"/>
  <c r="S8" i="7"/>
  <c r="R8" i="7"/>
  <c r="T8" i="7" s="1"/>
  <c r="Q8" i="7"/>
  <c r="P8" i="7"/>
  <c r="X7" i="7"/>
  <c r="Y7" i="7" s="1"/>
  <c r="W7" i="7"/>
  <c r="U7" i="7"/>
  <c r="T7" i="7"/>
  <c r="S7" i="7"/>
  <c r="R7" i="7"/>
  <c r="Q7" i="7"/>
  <c r="P7" i="7"/>
  <c r="X6" i="7"/>
  <c r="Y6" i="7" s="1"/>
  <c r="W6" i="7"/>
  <c r="U6" i="7"/>
  <c r="R6" i="7"/>
  <c r="T6" i="7" s="1"/>
  <c r="Q6" i="7"/>
  <c r="S6" i="7" s="1"/>
  <c r="P6" i="7"/>
  <c r="AB5" i="7"/>
  <c r="AH5" i="7" s="1"/>
  <c r="Y5" i="7"/>
  <c r="X5" i="7"/>
  <c r="W5" i="7"/>
  <c r="U5" i="7"/>
  <c r="T5" i="7"/>
  <c r="S5" i="7"/>
  <c r="R5" i="7"/>
  <c r="Q5" i="7"/>
  <c r="P5" i="7"/>
  <c r="H36" i="6"/>
  <c r="G36" i="6"/>
  <c r="F36" i="6"/>
  <c r="H35" i="6"/>
  <c r="G35" i="6"/>
  <c r="F35" i="6"/>
  <c r="H34" i="6"/>
  <c r="G34" i="6"/>
  <c r="F34" i="6"/>
  <c r="H33" i="6"/>
  <c r="G33" i="6"/>
  <c r="F33" i="6"/>
  <c r="H32" i="6"/>
  <c r="G32" i="6"/>
  <c r="F32" i="6"/>
  <c r="H31" i="6"/>
  <c r="G31" i="6"/>
  <c r="F31" i="6"/>
  <c r="H30" i="6"/>
  <c r="G30" i="6"/>
  <c r="F30" i="6"/>
  <c r="H29" i="6"/>
  <c r="G29" i="6"/>
  <c r="F29" i="6"/>
  <c r="H28" i="6"/>
  <c r="G28" i="6"/>
  <c r="F28" i="6"/>
  <c r="H27" i="6"/>
  <c r="G27" i="6"/>
  <c r="F27" i="6"/>
  <c r="H26" i="6"/>
  <c r="G26" i="6"/>
  <c r="F26" i="6"/>
  <c r="H25" i="6"/>
  <c r="G25" i="6"/>
  <c r="F25" i="6"/>
  <c r="H24" i="6"/>
  <c r="G24" i="6"/>
  <c r="F24" i="6"/>
  <c r="H23" i="6"/>
  <c r="G23" i="6"/>
  <c r="F23" i="6"/>
  <c r="H22" i="6"/>
  <c r="G22" i="6"/>
  <c r="F22" i="6"/>
  <c r="H21" i="6"/>
  <c r="G21" i="6"/>
  <c r="F21" i="6"/>
  <c r="H20" i="6"/>
  <c r="G20" i="6"/>
  <c r="F20" i="6"/>
  <c r="H19" i="6"/>
  <c r="G19" i="6"/>
  <c r="F19" i="6"/>
  <c r="H18" i="6"/>
  <c r="G18" i="6"/>
  <c r="F18" i="6"/>
  <c r="H17" i="6"/>
  <c r="G17" i="6"/>
  <c r="F17" i="6"/>
  <c r="H16" i="6"/>
  <c r="G16" i="6"/>
  <c r="F16" i="6"/>
  <c r="H15" i="6"/>
  <c r="G15" i="6"/>
  <c r="F15" i="6"/>
  <c r="H14" i="6"/>
  <c r="G14" i="6"/>
  <c r="F14" i="6"/>
  <c r="H13" i="6"/>
  <c r="G13" i="6"/>
  <c r="F13" i="6"/>
  <c r="H12" i="6"/>
  <c r="G12" i="6"/>
  <c r="F12" i="6"/>
  <c r="H11" i="6"/>
  <c r="G11" i="6"/>
  <c r="F11" i="6"/>
  <c r="H10" i="6"/>
  <c r="G10" i="6"/>
  <c r="F10" i="6"/>
  <c r="H9" i="6"/>
  <c r="G9" i="6"/>
  <c r="F9" i="6"/>
  <c r="AB13" i="7" s="1"/>
  <c r="H8" i="6"/>
  <c r="G8" i="6"/>
  <c r="F8" i="6"/>
  <c r="H7" i="6"/>
  <c r="G7" i="6"/>
  <c r="F7" i="6"/>
  <c r="H6" i="6"/>
  <c r="G6" i="6"/>
  <c r="F6" i="6"/>
  <c r="H5" i="6"/>
  <c r="G5" i="6"/>
  <c r="F5" i="6"/>
  <c r="AC13" i="7" s="1"/>
  <c r="W34" i="5"/>
  <c r="N34" i="5"/>
  <c r="T34" i="5" s="1"/>
  <c r="M34" i="5"/>
  <c r="S34" i="5" s="1"/>
  <c r="L34" i="5"/>
  <c r="K34" i="5"/>
  <c r="E34" i="5"/>
  <c r="Y33" i="5"/>
  <c r="X33" i="5"/>
  <c r="W33" i="5"/>
  <c r="Z33" i="5" s="1"/>
  <c r="S33" i="5"/>
  <c r="N33" i="5"/>
  <c r="T33" i="5" s="1"/>
  <c r="M33" i="5"/>
  <c r="L33" i="5"/>
  <c r="K33" i="5"/>
  <c r="E33" i="5"/>
  <c r="Y32" i="5"/>
  <c r="Z32" i="5" s="1"/>
  <c r="W32" i="5"/>
  <c r="X32" i="5" s="1"/>
  <c r="S32" i="5"/>
  <c r="N32" i="5"/>
  <c r="T32" i="5" s="1"/>
  <c r="M32" i="5"/>
  <c r="L32" i="5"/>
  <c r="K32" i="5"/>
  <c r="E32" i="5"/>
  <c r="N31" i="5"/>
  <c r="L31" i="5"/>
  <c r="K31" i="5"/>
  <c r="M31" i="5" s="1"/>
  <c r="E31" i="5"/>
  <c r="L30" i="5"/>
  <c r="N30" i="5" s="1"/>
  <c r="K30" i="5"/>
  <c r="M30" i="5" s="1"/>
  <c r="E30" i="5"/>
  <c r="M29" i="5"/>
  <c r="L29" i="5"/>
  <c r="N29" i="5" s="1"/>
  <c r="K29" i="5"/>
  <c r="E29" i="5"/>
  <c r="N28" i="5"/>
  <c r="M28" i="5"/>
  <c r="L28" i="5"/>
  <c r="K28" i="5"/>
  <c r="E28" i="5"/>
  <c r="N27" i="5"/>
  <c r="M27" i="5"/>
  <c r="L27" i="5"/>
  <c r="K27" i="5"/>
  <c r="E27" i="5"/>
  <c r="N26" i="5"/>
  <c r="M26" i="5"/>
  <c r="L26" i="5"/>
  <c r="K26" i="5"/>
  <c r="E26" i="5"/>
  <c r="N25" i="5"/>
  <c r="M25" i="5"/>
  <c r="L25" i="5"/>
  <c r="K25" i="5"/>
  <c r="E25" i="5"/>
  <c r="Z24" i="5"/>
  <c r="Y24" i="5"/>
  <c r="W24" i="5"/>
  <c r="X24" i="5" s="1"/>
  <c r="S24" i="5"/>
  <c r="N24" i="5"/>
  <c r="T24" i="5" s="1"/>
  <c r="M24" i="5"/>
  <c r="L24" i="5"/>
  <c r="K24" i="5"/>
  <c r="E24" i="5"/>
  <c r="Z23" i="5"/>
  <c r="Y23" i="5"/>
  <c r="X23" i="5"/>
  <c r="W23" i="5"/>
  <c r="S23" i="5"/>
  <c r="N23" i="5"/>
  <c r="T23" i="5" s="1"/>
  <c r="M23" i="5"/>
  <c r="L23" i="5"/>
  <c r="K23" i="5"/>
  <c r="E23" i="5"/>
  <c r="L22" i="5"/>
  <c r="N22" i="5" s="1"/>
  <c r="K22" i="5"/>
  <c r="M22" i="5" s="1"/>
  <c r="E22" i="5"/>
  <c r="Z21" i="5"/>
  <c r="Y21" i="5"/>
  <c r="X21" i="5"/>
  <c r="W21" i="5"/>
  <c r="T21" i="5"/>
  <c r="N21" i="5"/>
  <c r="M21" i="5"/>
  <c r="L21" i="5"/>
  <c r="K21" i="5"/>
  <c r="E21" i="5"/>
  <c r="Y20" i="5"/>
  <c r="W20" i="5"/>
  <c r="Z20" i="5" s="1"/>
  <c r="N20" i="5"/>
  <c r="M20" i="5"/>
  <c r="L20" i="5"/>
  <c r="K20" i="5"/>
  <c r="E20" i="5"/>
  <c r="W19" i="5"/>
  <c r="N19" i="5"/>
  <c r="M19" i="5"/>
  <c r="S19" i="5" s="1"/>
  <c r="L19" i="5"/>
  <c r="K19" i="5"/>
  <c r="E19" i="5"/>
  <c r="W18" i="5"/>
  <c r="N18" i="5"/>
  <c r="T18" i="5" s="1"/>
  <c r="M18" i="5"/>
  <c r="S18" i="5" s="1"/>
  <c r="L18" i="5"/>
  <c r="K18" i="5"/>
  <c r="E18" i="5"/>
  <c r="N17" i="5"/>
  <c r="M17" i="5"/>
  <c r="L17" i="5"/>
  <c r="K17" i="5"/>
  <c r="E17" i="5"/>
  <c r="N16" i="5"/>
  <c r="L16" i="5"/>
  <c r="K16" i="5"/>
  <c r="M16" i="5" s="1"/>
  <c r="E16" i="5"/>
  <c r="N15" i="5"/>
  <c r="L15" i="5"/>
  <c r="K15" i="5"/>
  <c r="M15" i="5" s="1"/>
  <c r="E15" i="5"/>
  <c r="L14" i="5"/>
  <c r="N14" i="5" s="1"/>
  <c r="K14" i="5"/>
  <c r="M14" i="5" s="1"/>
  <c r="E14" i="5"/>
  <c r="Z13" i="5"/>
  <c r="Y13" i="5"/>
  <c r="X13" i="5"/>
  <c r="W13" i="5"/>
  <c r="T13" i="5"/>
  <c r="N13" i="5"/>
  <c r="M13" i="5"/>
  <c r="L13" i="5"/>
  <c r="K13" i="5"/>
  <c r="E13" i="5"/>
  <c r="Y12" i="5"/>
  <c r="Z12" i="5" s="1"/>
  <c r="W12" i="5"/>
  <c r="X12" i="5" s="1"/>
  <c r="N12" i="5"/>
  <c r="M12" i="5"/>
  <c r="L12" i="5"/>
  <c r="K12" i="5"/>
  <c r="E12" i="5"/>
  <c r="N11" i="5"/>
  <c r="M11" i="5"/>
  <c r="L11" i="5"/>
  <c r="K11" i="5"/>
  <c r="E11" i="5"/>
  <c r="W10" i="5"/>
  <c r="N10" i="5"/>
  <c r="M10" i="5"/>
  <c r="L10" i="5"/>
  <c r="K10" i="5"/>
  <c r="E10" i="5"/>
  <c r="N9" i="5"/>
  <c r="M9" i="5"/>
  <c r="L9" i="5"/>
  <c r="K9" i="5"/>
  <c r="E9" i="5"/>
  <c r="D53" i="8" s="1"/>
  <c r="N8" i="5"/>
  <c r="L8" i="5"/>
  <c r="K8" i="5"/>
  <c r="M8" i="5" s="1"/>
  <c r="E8" i="5"/>
  <c r="N7" i="5"/>
  <c r="F40" i="8" s="1"/>
  <c r="L7" i="5"/>
  <c r="K7" i="5"/>
  <c r="M7" i="5" s="1"/>
  <c r="E7" i="5"/>
  <c r="L6" i="5"/>
  <c r="N6" i="5" s="1"/>
  <c r="K6" i="5"/>
  <c r="M6" i="5" s="1"/>
  <c r="E6" i="5"/>
  <c r="M5" i="5"/>
  <c r="L5" i="5"/>
  <c r="N5" i="5" s="1"/>
  <c r="K5" i="5"/>
  <c r="E5" i="5"/>
  <c r="F30" i="4"/>
  <c r="E30" i="4"/>
  <c r="F29" i="4"/>
  <c r="E29" i="4"/>
  <c r="W31" i="5" s="1"/>
  <c r="F28" i="4"/>
  <c r="E28" i="4"/>
  <c r="F27" i="4"/>
  <c r="E27" i="4"/>
  <c r="F26" i="4"/>
  <c r="E26" i="4"/>
  <c r="F25" i="4"/>
  <c r="E25" i="4"/>
  <c r="W30" i="5" s="1"/>
  <c r="F24" i="4"/>
  <c r="E24" i="4"/>
  <c r="F23" i="4"/>
  <c r="E23" i="4"/>
  <c r="F22" i="4"/>
  <c r="E22" i="4"/>
  <c r="F21" i="4"/>
  <c r="E21" i="4"/>
  <c r="F20" i="4"/>
  <c r="E20" i="4"/>
  <c r="F19" i="4"/>
  <c r="E19" i="4"/>
  <c r="F18" i="4"/>
  <c r="E18" i="4"/>
  <c r="W27" i="5" s="1"/>
  <c r="F17" i="4"/>
  <c r="E17" i="4"/>
  <c r="F16" i="4"/>
  <c r="E16" i="4"/>
  <c r="F15" i="4"/>
  <c r="E15" i="4"/>
  <c r="F14" i="4"/>
  <c r="E14" i="4"/>
  <c r="F13" i="4"/>
  <c r="E13" i="4"/>
  <c r="F12" i="4"/>
  <c r="E12" i="4"/>
  <c r="F11" i="4"/>
  <c r="E11" i="4"/>
  <c r="F10" i="4"/>
  <c r="E10" i="4"/>
  <c r="W6" i="5" s="1"/>
  <c r="F9" i="4"/>
  <c r="E9" i="4"/>
  <c r="F8" i="4"/>
  <c r="E8" i="4"/>
  <c r="W7" i="5" s="1"/>
  <c r="F7" i="4"/>
  <c r="E7" i="4"/>
  <c r="E6" i="4"/>
  <c r="W11" i="5" s="1"/>
  <c r="E5" i="4"/>
  <c r="F5" i="4" s="1"/>
  <c r="X11" i="5" l="1"/>
  <c r="Y11" i="5" s="1"/>
  <c r="Z11" i="5" s="1"/>
  <c r="E16" i="8"/>
  <c r="E15" i="8"/>
  <c r="E14" i="8"/>
  <c r="E13" i="8"/>
  <c r="E12" i="8"/>
  <c r="E11" i="8"/>
  <c r="E10" i="8"/>
  <c r="E9" i="8"/>
  <c r="E8" i="8"/>
  <c r="E7" i="8"/>
  <c r="E6" i="8"/>
  <c r="E5" i="8"/>
  <c r="E134" i="8"/>
  <c r="E135" i="8"/>
  <c r="E136" i="8"/>
  <c r="E133" i="8"/>
  <c r="E132" i="8"/>
  <c r="E131" i="8"/>
  <c r="E127" i="8"/>
  <c r="E126" i="8"/>
  <c r="E130" i="8"/>
  <c r="E125" i="8"/>
  <c r="E129" i="8"/>
  <c r="E128" i="8"/>
  <c r="AC12" i="7"/>
  <c r="AB12" i="7"/>
  <c r="D28" i="8"/>
  <c r="D27" i="8"/>
  <c r="D26" i="8"/>
  <c r="D25" i="8"/>
  <c r="D24" i="8"/>
  <c r="D23" i="8"/>
  <c r="D22" i="8"/>
  <c r="D21" i="8"/>
  <c r="D20" i="8"/>
  <c r="D19" i="8"/>
  <c r="D18" i="8"/>
  <c r="D17" i="8"/>
  <c r="W25" i="5"/>
  <c r="W26" i="5"/>
  <c r="F16" i="8"/>
  <c r="F15" i="8"/>
  <c r="F14" i="8"/>
  <c r="F13" i="8"/>
  <c r="F12" i="8"/>
  <c r="F11" i="8"/>
  <c r="F10" i="8"/>
  <c r="F9" i="8"/>
  <c r="F8" i="8"/>
  <c r="F7" i="8"/>
  <c r="F6" i="8"/>
  <c r="F5" i="8"/>
  <c r="F76" i="8"/>
  <c r="F75" i="8"/>
  <c r="F74" i="8"/>
  <c r="F73" i="8"/>
  <c r="F72" i="8"/>
  <c r="F71" i="8"/>
  <c r="F70" i="8"/>
  <c r="F69" i="8"/>
  <c r="F68" i="8"/>
  <c r="F67" i="8"/>
  <c r="F66" i="8"/>
  <c r="F65" i="8"/>
  <c r="E100" i="8"/>
  <c r="E99" i="8"/>
  <c r="E98" i="8"/>
  <c r="E97" i="8"/>
  <c r="E96" i="8"/>
  <c r="E95" i="8"/>
  <c r="E94" i="8"/>
  <c r="E93" i="8"/>
  <c r="E92" i="8"/>
  <c r="E89" i="8"/>
  <c r="E91" i="8"/>
  <c r="E90" i="8"/>
  <c r="S12" i="5"/>
  <c r="E315" i="8"/>
  <c r="E307" i="8"/>
  <c r="E316" i="8"/>
  <c r="E308" i="8"/>
  <c r="E309" i="8"/>
  <c r="E310" i="8"/>
  <c r="E311" i="8"/>
  <c r="E312" i="8"/>
  <c r="E313" i="8"/>
  <c r="E305" i="8"/>
  <c r="E306" i="8"/>
  <c r="E314" i="8"/>
  <c r="AN11" i="7"/>
  <c r="AM11" i="7"/>
  <c r="AL11" i="7"/>
  <c r="AK11" i="7"/>
  <c r="AJ11" i="7"/>
  <c r="AO11" i="7"/>
  <c r="W9" i="5"/>
  <c r="F88" i="8"/>
  <c r="F87" i="8"/>
  <c r="F86" i="8"/>
  <c r="F85" i="8"/>
  <c r="F84" i="8"/>
  <c r="F83" i="8"/>
  <c r="F82" i="8"/>
  <c r="F81" i="8"/>
  <c r="F80" i="8"/>
  <c r="F79" i="8"/>
  <c r="F78" i="8"/>
  <c r="F77" i="8"/>
  <c r="F100" i="8"/>
  <c r="N100" i="8" s="1"/>
  <c r="F99" i="8"/>
  <c r="N99" i="8" s="1"/>
  <c r="F98" i="8"/>
  <c r="N98" i="8" s="1"/>
  <c r="F97" i="8"/>
  <c r="N97" i="8" s="1"/>
  <c r="F96" i="8"/>
  <c r="N96" i="8" s="1"/>
  <c r="F95" i="8"/>
  <c r="N95" i="8" s="1"/>
  <c r="F94" i="8"/>
  <c r="N94" i="8" s="1"/>
  <c r="F93" i="8"/>
  <c r="N93" i="8" s="1"/>
  <c r="F92" i="8"/>
  <c r="N92" i="8" s="1"/>
  <c r="F91" i="8"/>
  <c r="N91" i="8" s="1"/>
  <c r="F90" i="8"/>
  <c r="N90" i="8" s="1"/>
  <c r="F89" i="8"/>
  <c r="N89" i="8" s="1"/>
  <c r="T12" i="5"/>
  <c r="E112" i="8"/>
  <c r="E111" i="8"/>
  <c r="E110" i="8"/>
  <c r="E109" i="8"/>
  <c r="E108" i="8"/>
  <c r="E107" i="8"/>
  <c r="E106" i="8"/>
  <c r="E105" i="8"/>
  <c r="E104" i="8"/>
  <c r="E103" i="8"/>
  <c r="E102" i="8"/>
  <c r="E101" i="8"/>
  <c r="S13" i="5"/>
  <c r="Y18" i="5"/>
  <c r="Z18" i="5" s="1"/>
  <c r="X18" i="5"/>
  <c r="F316" i="8"/>
  <c r="F308" i="8"/>
  <c r="F309" i="8"/>
  <c r="F310" i="8"/>
  <c r="F311" i="8"/>
  <c r="F312" i="8"/>
  <c r="F313" i="8"/>
  <c r="F305" i="8"/>
  <c r="F314" i="8"/>
  <c r="F306" i="8"/>
  <c r="F315" i="8"/>
  <c r="F307" i="8"/>
  <c r="AH13" i="7"/>
  <c r="AG13" i="7"/>
  <c r="AF13" i="7"/>
  <c r="AI13" i="7" s="1"/>
  <c r="O13" i="7" s="1"/>
  <c r="Z13" i="7" s="1"/>
  <c r="AA13" i="7" s="1"/>
  <c r="V13" i="7" s="1"/>
  <c r="AC9" i="7"/>
  <c r="AB9" i="7"/>
  <c r="AC10" i="7"/>
  <c r="AB10" i="7"/>
  <c r="Y30" i="5"/>
  <c r="Z30" i="5" s="1"/>
  <c r="X30" i="5"/>
  <c r="Y31" i="5"/>
  <c r="X31" i="5"/>
  <c r="E28" i="8"/>
  <c r="E27" i="8"/>
  <c r="E26" i="8"/>
  <c r="E25" i="8"/>
  <c r="E24" i="8"/>
  <c r="E23" i="8"/>
  <c r="E22" i="8"/>
  <c r="E21" i="8"/>
  <c r="E20" i="8"/>
  <c r="E19" i="8"/>
  <c r="E18" i="8"/>
  <c r="E17" i="8"/>
  <c r="D38" i="8"/>
  <c r="D36" i="8"/>
  <c r="D39" i="8"/>
  <c r="D32" i="8"/>
  <c r="D31" i="8"/>
  <c r="D30" i="8"/>
  <c r="D29" i="8"/>
  <c r="D37" i="8"/>
  <c r="D33" i="8"/>
  <c r="D40" i="8"/>
  <c r="D34" i="8"/>
  <c r="D35" i="8"/>
  <c r="X7" i="5"/>
  <c r="Y7" i="5" s="1"/>
  <c r="Z7" i="5" s="1"/>
  <c r="E123" i="8"/>
  <c r="E117" i="8"/>
  <c r="E122" i="8"/>
  <c r="E119" i="8"/>
  <c r="E116" i="8"/>
  <c r="E121" i="8"/>
  <c r="E118" i="8"/>
  <c r="E114" i="8"/>
  <c r="E113" i="8"/>
  <c r="E124" i="8"/>
  <c r="E115" i="8"/>
  <c r="E120" i="8"/>
  <c r="E220" i="8"/>
  <c r="E219" i="8"/>
  <c r="E218" i="8"/>
  <c r="E217" i="8"/>
  <c r="E216" i="8"/>
  <c r="E215" i="8"/>
  <c r="E214" i="8"/>
  <c r="E213" i="8"/>
  <c r="E212" i="8"/>
  <c r="E211" i="8"/>
  <c r="E210" i="8"/>
  <c r="E209" i="8"/>
  <c r="F124" i="8"/>
  <c r="F123" i="8"/>
  <c r="F122" i="8"/>
  <c r="F121" i="8"/>
  <c r="F120" i="8"/>
  <c r="F119" i="8"/>
  <c r="F118" i="8"/>
  <c r="F117" i="8"/>
  <c r="F116" i="8"/>
  <c r="F115" i="8"/>
  <c r="F114" i="8"/>
  <c r="F113" i="8"/>
  <c r="F209" i="8"/>
  <c r="F217" i="8"/>
  <c r="F220" i="8"/>
  <c r="F214" i="8"/>
  <c r="F216" i="8"/>
  <c r="F212" i="8"/>
  <c r="F219" i="8"/>
  <c r="F210" i="8"/>
  <c r="F218" i="8"/>
  <c r="F215" i="8"/>
  <c r="F213" i="8"/>
  <c r="F211" i="8"/>
  <c r="E328" i="8"/>
  <c r="E327" i="8"/>
  <c r="E326" i="8"/>
  <c r="E325" i="8"/>
  <c r="E324" i="8"/>
  <c r="E323" i="8"/>
  <c r="E322" i="8"/>
  <c r="E321" i="8"/>
  <c r="E317" i="8"/>
  <c r="E318" i="8"/>
  <c r="E319" i="8"/>
  <c r="E320" i="8"/>
  <c r="AC8" i="7"/>
  <c r="AB8" i="7"/>
  <c r="E36" i="8"/>
  <c r="E39" i="8"/>
  <c r="E32" i="8"/>
  <c r="E31" i="8"/>
  <c r="E30" i="8"/>
  <c r="E29" i="8"/>
  <c r="E37" i="8"/>
  <c r="E33" i="8"/>
  <c r="E40" i="8"/>
  <c r="E34" i="8"/>
  <c r="E35" i="8"/>
  <c r="E38" i="8"/>
  <c r="Y10" i="5"/>
  <c r="Z10" i="5" s="1"/>
  <c r="X6" i="5"/>
  <c r="Y6" i="5" s="1"/>
  <c r="Z6" i="5" s="1"/>
  <c r="Y27" i="5"/>
  <c r="Z27" i="5" s="1"/>
  <c r="X27" i="5"/>
  <c r="X10" i="5"/>
  <c r="AC6" i="7"/>
  <c r="AB6" i="7"/>
  <c r="AB7" i="7"/>
  <c r="AC7" i="7"/>
  <c r="F28" i="8"/>
  <c r="F27" i="8"/>
  <c r="F26" i="8"/>
  <c r="F25" i="8"/>
  <c r="F24" i="8"/>
  <c r="F23" i="8"/>
  <c r="F22" i="8"/>
  <c r="F21" i="8"/>
  <c r="F20" i="8"/>
  <c r="F19" i="8"/>
  <c r="F18" i="8"/>
  <c r="F17" i="8"/>
  <c r="W17" i="5"/>
  <c r="W16" i="5"/>
  <c r="W15" i="5"/>
  <c r="W22" i="5"/>
  <c r="W14" i="5"/>
  <c r="W5" i="5"/>
  <c r="F6" i="4"/>
  <c r="Z31" i="5" s="1"/>
  <c r="D50" i="8"/>
  <c r="D42" i="8"/>
  <c r="D47" i="8"/>
  <c r="D52" i="8"/>
  <c r="D44" i="8"/>
  <c r="D49" i="8"/>
  <c r="D41" i="8"/>
  <c r="D46" i="8"/>
  <c r="D51" i="8"/>
  <c r="D43" i="8"/>
  <c r="D48" i="8"/>
  <c r="D45" i="8"/>
  <c r="W8" i="5"/>
  <c r="F64" i="8"/>
  <c r="F63" i="8"/>
  <c r="F62" i="8"/>
  <c r="F61" i="8"/>
  <c r="F60" i="8"/>
  <c r="F59" i="8"/>
  <c r="F58" i="8"/>
  <c r="F57" i="8"/>
  <c r="F56" i="8"/>
  <c r="F55" i="8"/>
  <c r="F54" i="8"/>
  <c r="F53" i="8"/>
  <c r="D146" i="8"/>
  <c r="D142" i="8"/>
  <c r="D138" i="8"/>
  <c r="D147" i="8"/>
  <c r="D143" i="8"/>
  <c r="D139" i="8"/>
  <c r="D148" i="8"/>
  <c r="D144" i="8"/>
  <c r="D140" i="8"/>
  <c r="D141" i="8"/>
  <c r="D137" i="8"/>
  <c r="D145" i="8"/>
  <c r="F301" i="8"/>
  <c r="F300" i="8"/>
  <c r="F299" i="8"/>
  <c r="F298" i="8"/>
  <c r="F297" i="8"/>
  <c r="F296" i="8"/>
  <c r="F295" i="8"/>
  <c r="F294" i="8"/>
  <c r="F293" i="8"/>
  <c r="F302" i="8"/>
  <c r="F303" i="8"/>
  <c r="F304" i="8"/>
  <c r="AO13" i="7"/>
  <c r="AN13" i="7"/>
  <c r="AM13" i="7"/>
  <c r="AL13" i="7"/>
  <c r="AK13" i="7"/>
  <c r="AJ13" i="7"/>
  <c r="D16" i="8"/>
  <c r="D15" i="8"/>
  <c r="D14" i="8"/>
  <c r="D13" i="8"/>
  <c r="D12" i="8"/>
  <c r="D11" i="8"/>
  <c r="D10" i="8"/>
  <c r="D9" i="8"/>
  <c r="D8" i="8"/>
  <c r="D7" i="8"/>
  <c r="D6" i="8"/>
  <c r="D5" i="8"/>
  <c r="E47" i="8"/>
  <c r="E52" i="8"/>
  <c r="E44" i="8"/>
  <c r="E49" i="8"/>
  <c r="E41" i="8"/>
  <c r="E46" i="8"/>
  <c r="E51" i="8"/>
  <c r="E43" i="8"/>
  <c r="E48" i="8"/>
  <c r="E45" i="8"/>
  <c r="E50" i="8"/>
  <c r="E42" i="8"/>
  <c r="D134" i="8"/>
  <c r="D135" i="8"/>
  <c r="D136" i="8"/>
  <c r="D132" i="8"/>
  <c r="D127" i="8"/>
  <c r="D126" i="8"/>
  <c r="D133" i="8"/>
  <c r="D130" i="8"/>
  <c r="D125" i="8"/>
  <c r="D131" i="8"/>
  <c r="D129" i="8"/>
  <c r="D128" i="8"/>
  <c r="E146" i="8"/>
  <c r="E142" i="8"/>
  <c r="E138" i="8"/>
  <c r="E147" i="8"/>
  <c r="E143" i="8"/>
  <c r="E139" i="8"/>
  <c r="E148" i="8"/>
  <c r="E144" i="8"/>
  <c r="E140" i="8"/>
  <c r="E145" i="8"/>
  <c r="E141" i="8"/>
  <c r="E137" i="8"/>
  <c r="F184" i="8"/>
  <c r="N184" i="8" s="1"/>
  <c r="F183" i="8"/>
  <c r="N183" i="8" s="1"/>
  <c r="F182" i="8"/>
  <c r="N182" i="8" s="1"/>
  <c r="F181" i="8"/>
  <c r="N181" i="8" s="1"/>
  <c r="F180" i="8"/>
  <c r="N180" i="8" s="1"/>
  <c r="F178" i="8"/>
  <c r="N178" i="8" s="1"/>
  <c r="F176" i="8"/>
  <c r="N176" i="8" s="1"/>
  <c r="F174" i="8"/>
  <c r="N174" i="8" s="1"/>
  <c r="F175" i="8"/>
  <c r="N175" i="8" s="1"/>
  <c r="F173" i="8"/>
  <c r="N173" i="8" s="1"/>
  <c r="F179" i="8"/>
  <c r="N179" i="8" s="1"/>
  <c r="F177" i="8"/>
  <c r="N177" i="8" s="1"/>
  <c r="T19" i="5"/>
  <c r="AC14" i="7"/>
  <c r="AB14" i="7"/>
  <c r="E196" i="8"/>
  <c r="E195" i="8"/>
  <c r="E194" i="8"/>
  <c r="E193" i="8"/>
  <c r="E192" i="8"/>
  <c r="E191" i="8"/>
  <c r="E190" i="8"/>
  <c r="E189" i="8"/>
  <c r="E188" i="8"/>
  <c r="E187" i="8"/>
  <c r="E186" i="8"/>
  <c r="E185" i="8"/>
  <c r="D231" i="8"/>
  <c r="D227" i="8"/>
  <c r="D223" i="8"/>
  <c r="D232" i="8"/>
  <c r="D228" i="8"/>
  <c r="D224" i="8"/>
  <c r="D229" i="8"/>
  <c r="D225" i="8"/>
  <c r="D221" i="8"/>
  <c r="D230" i="8"/>
  <c r="D226" i="8"/>
  <c r="D222" i="8"/>
  <c r="F280" i="8"/>
  <c r="F276" i="8"/>
  <c r="F272" i="8"/>
  <c r="F277" i="8"/>
  <c r="F273" i="8"/>
  <c r="F269" i="8"/>
  <c r="F278" i="8"/>
  <c r="F274" i="8"/>
  <c r="F270" i="8"/>
  <c r="F279" i="8"/>
  <c r="F275" i="8"/>
  <c r="F271" i="8"/>
  <c r="E292" i="8"/>
  <c r="E291" i="8"/>
  <c r="E290" i="8"/>
  <c r="E289" i="8"/>
  <c r="E288" i="8"/>
  <c r="E287" i="8"/>
  <c r="E286" i="8"/>
  <c r="E285" i="8"/>
  <c r="E284" i="8"/>
  <c r="E283" i="8"/>
  <c r="E282" i="8"/>
  <c r="E281" i="8"/>
  <c r="D328" i="8"/>
  <c r="D327" i="8"/>
  <c r="D326" i="8"/>
  <c r="D325" i="8"/>
  <c r="D324" i="8"/>
  <c r="D323" i="8"/>
  <c r="D322" i="8"/>
  <c r="D320" i="8"/>
  <c r="D321" i="8"/>
  <c r="D317" i="8"/>
  <c r="D318" i="8"/>
  <c r="D319" i="8"/>
  <c r="D5" i="10"/>
  <c r="C10" i="9"/>
  <c r="C12" i="9"/>
  <c r="C13" i="9"/>
  <c r="C5" i="9"/>
  <c r="C14" i="9"/>
  <c r="C6" i="9"/>
  <c r="D6" i="10"/>
  <c r="E208" i="8"/>
  <c r="E204" i="8"/>
  <c r="E200" i="8"/>
  <c r="E205" i="8"/>
  <c r="E201" i="8"/>
  <c r="E206" i="8"/>
  <c r="E202" i="8"/>
  <c r="E198" i="8"/>
  <c r="E197" i="8"/>
  <c r="E207" i="8"/>
  <c r="E203" i="8"/>
  <c r="E199" i="8"/>
  <c r="D244" i="8"/>
  <c r="D243" i="8"/>
  <c r="D242" i="8"/>
  <c r="D241" i="8"/>
  <c r="D240" i="8"/>
  <c r="D237" i="8"/>
  <c r="D235" i="8"/>
  <c r="D239" i="8"/>
  <c r="D236" i="8"/>
  <c r="D233" i="8"/>
  <c r="D238" i="8"/>
  <c r="D234" i="8"/>
  <c r="F292" i="8"/>
  <c r="F291" i="8"/>
  <c r="F290" i="8"/>
  <c r="F289" i="8"/>
  <c r="F288" i="8"/>
  <c r="F287" i="8"/>
  <c r="F283" i="8"/>
  <c r="F281" i="8"/>
  <c r="F286" i="8"/>
  <c r="F285" i="8"/>
  <c r="F282" i="8"/>
  <c r="F284" i="8"/>
  <c r="E301" i="8"/>
  <c r="E300" i="8"/>
  <c r="E299" i="8"/>
  <c r="E298" i="8"/>
  <c r="E297" i="8"/>
  <c r="E296" i="8"/>
  <c r="E295" i="8"/>
  <c r="E294" i="8"/>
  <c r="E293" i="8"/>
  <c r="E302" i="8"/>
  <c r="E303" i="8"/>
  <c r="E304" i="8"/>
  <c r="D337" i="8"/>
  <c r="D333" i="8"/>
  <c r="D332" i="8"/>
  <c r="D331" i="8"/>
  <c r="D330" i="8"/>
  <c r="D329" i="8"/>
  <c r="D338" i="8"/>
  <c r="D334" i="8"/>
  <c r="D339" i="8"/>
  <c r="D335" i="8"/>
  <c r="D340" i="8"/>
  <c r="D336" i="8"/>
  <c r="X34" i="5"/>
  <c r="D15" i="9"/>
  <c r="D7" i="9"/>
  <c r="D10" i="9"/>
  <c r="D5" i="9"/>
  <c r="D13" i="9"/>
  <c r="F38" i="8"/>
  <c r="F196" i="8"/>
  <c r="N196" i="8" s="1"/>
  <c r="F195" i="8"/>
  <c r="N195" i="8" s="1"/>
  <c r="F194" i="8"/>
  <c r="N194" i="8" s="1"/>
  <c r="F193" i="8"/>
  <c r="N193" i="8" s="1"/>
  <c r="F192" i="8"/>
  <c r="N192" i="8" s="1"/>
  <c r="F191" i="8"/>
  <c r="N191" i="8" s="1"/>
  <c r="F190" i="8"/>
  <c r="N190" i="8" s="1"/>
  <c r="F189" i="8"/>
  <c r="N189" i="8" s="1"/>
  <c r="F188" i="8"/>
  <c r="N188" i="8" s="1"/>
  <c r="F187" i="8"/>
  <c r="N187" i="8" s="1"/>
  <c r="F186" i="8"/>
  <c r="N186" i="8" s="1"/>
  <c r="F185" i="8"/>
  <c r="N185" i="8" s="1"/>
  <c r="D64" i="8"/>
  <c r="D63" i="8"/>
  <c r="D62" i="8"/>
  <c r="D61" i="8"/>
  <c r="D60" i="8"/>
  <c r="D59" i="8"/>
  <c r="D58" i="8"/>
  <c r="D57" i="8"/>
  <c r="D56" i="8"/>
  <c r="D55" i="8"/>
  <c r="D54" i="8"/>
  <c r="F112" i="8"/>
  <c r="N112" i="8" s="1"/>
  <c r="F111" i="8"/>
  <c r="N111" i="8" s="1"/>
  <c r="F110" i="8"/>
  <c r="N110" i="8" s="1"/>
  <c r="F109" i="8"/>
  <c r="N109" i="8" s="1"/>
  <c r="F108" i="8"/>
  <c r="N108" i="8" s="1"/>
  <c r="F107" i="8"/>
  <c r="N107" i="8" s="1"/>
  <c r="F106" i="8"/>
  <c r="N106" i="8" s="1"/>
  <c r="F105" i="8"/>
  <c r="N105" i="8" s="1"/>
  <c r="F104" i="8"/>
  <c r="N104" i="8" s="1"/>
  <c r="F103" i="8"/>
  <c r="N103" i="8" s="1"/>
  <c r="F102" i="8"/>
  <c r="N102" i="8" s="1"/>
  <c r="F101" i="8"/>
  <c r="N101" i="8" s="1"/>
  <c r="D158" i="8"/>
  <c r="D154" i="8"/>
  <c r="D150" i="8"/>
  <c r="D159" i="8"/>
  <c r="D155" i="8"/>
  <c r="D151" i="8"/>
  <c r="D160" i="8"/>
  <c r="D156" i="8"/>
  <c r="D152" i="8"/>
  <c r="D157" i="8"/>
  <c r="D153" i="8"/>
  <c r="D149" i="8"/>
  <c r="X19" i="5"/>
  <c r="F208" i="8"/>
  <c r="N208" i="8" s="1"/>
  <c r="F207" i="8"/>
  <c r="N207" i="8" s="1"/>
  <c r="F206" i="8"/>
  <c r="N206" i="8" s="1"/>
  <c r="F205" i="8"/>
  <c r="N205" i="8" s="1"/>
  <c r="F204" i="8"/>
  <c r="N204" i="8" s="1"/>
  <c r="F203" i="8"/>
  <c r="N203" i="8" s="1"/>
  <c r="F202" i="8"/>
  <c r="N202" i="8" s="1"/>
  <c r="F201" i="8"/>
  <c r="N201" i="8" s="1"/>
  <c r="F200" i="8"/>
  <c r="N200" i="8" s="1"/>
  <c r="F199" i="8"/>
  <c r="N199" i="8" s="1"/>
  <c r="F198" i="8"/>
  <c r="N198" i="8" s="1"/>
  <c r="F197" i="8"/>
  <c r="N197" i="8" s="1"/>
  <c r="D256" i="8"/>
  <c r="D252" i="8"/>
  <c r="D253" i="8"/>
  <c r="D249" i="8"/>
  <c r="D248" i="8"/>
  <c r="D247" i="8"/>
  <c r="D246" i="8"/>
  <c r="D245" i="8"/>
  <c r="D254" i="8"/>
  <c r="D250" i="8"/>
  <c r="D255" i="8"/>
  <c r="D251" i="8"/>
  <c r="W28" i="5"/>
  <c r="D345" i="8"/>
  <c r="D341" i="8"/>
  <c r="D351" i="8"/>
  <c r="D349" i="8"/>
  <c r="D346" i="8"/>
  <c r="D342" i="8"/>
  <c r="D347" i="8"/>
  <c r="D343" i="8"/>
  <c r="D350" i="8"/>
  <c r="D344" i="8"/>
  <c r="D352" i="8"/>
  <c r="D348" i="8"/>
  <c r="Y34" i="5"/>
  <c r="Z34" i="5" s="1"/>
  <c r="E12" i="9"/>
  <c r="J12" i="9" s="1"/>
  <c r="C20" i="10" s="1"/>
  <c r="H10" i="9"/>
  <c r="H15" i="9"/>
  <c r="H14" i="9"/>
  <c r="F10" i="9"/>
  <c r="H7" i="9"/>
  <c r="H6" i="9"/>
  <c r="G15" i="9"/>
  <c r="L15" i="9" s="1"/>
  <c r="D23" i="10" s="1"/>
  <c r="E10" i="9"/>
  <c r="J10" i="9" s="1"/>
  <c r="C18" i="10" s="1"/>
  <c r="G7" i="9"/>
  <c r="F15" i="9"/>
  <c r="F7" i="9"/>
  <c r="E15" i="9"/>
  <c r="H12" i="9"/>
  <c r="E7" i="9"/>
  <c r="J7" i="9" s="1"/>
  <c r="C15" i="10" s="1"/>
  <c r="G12" i="9"/>
  <c r="L12" i="9" s="1"/>
  <c r="D20" i="10" s="1"/>
  <c r="F13" i="9"/>
  <c r="F12" i="9"/>
  <c r="F5" i="9"/>
  <c r="E13" i="9"/>
  <c r="J13" i="9" s="1"/>
  <c r="C21" i="10" s="1"/>
  <c r="H9" i="9"/>
  <c r="E5" i="9"/>
  <c r="G10" i="9"/>
  <c r="L10" i="9" s="1"/>
  <c r="D18" i="10" s="1"/>
  <c r="G9" i="9"/>
  <c r="L9" i="9" s="1"/>
  <c r="D17" i="10" s="1"/>
  <c r="AC5" i="7"/>
  <c r="F35" i="8"/>
  <c r="D76" i="8"/>
  <c r="D75" i="8"/>
  <c r="D74" i="8"/>
  <c r="D73" i="8"/>
  <c r="D72" i="8"/>
  <c r="D71" i="8"/>
  <c r="D70" i="8"/>
  <c r="D69" i="8"/>
  <c r="D68" i="8"/>
  <c r="D67" i="8"/>
  <c r="D66" i="8"/>
  <c r="D65" i="8"/>
  <c r="D170" i="8"/>
  <c r="D166" i="8"/>
  <c r="D162" i="8"/>
  <c r="D171" i="8"/>
  <c r="D167" i="8"/>
  <c r="D163" i="8"/>
  <c r="D168" i="8"/>
  <c r="D164" i="8"/>
  <c r="D172" i="8"/>
  <c r="D169" i="8"/>
  <c r="D165" i="8"/>
  <c r="D161" i="8"/>
  <c r="Y19" i="5"/>
  <c r="Z19" i="5" s="1"/>
  <c r="X20" i="5"/>
  <c r="E232" i="8"/>
  <c r="E231" i="8"/>
  <c r="E230" i="8"/>
  <c r="E229" i="8"/>
  <c r="E228" i="8"/>
  <c r="E227" i="8"/>
  <c r="E226" i="8"/>
  <c r="E225" i="8"/>
  <c r="E224" i="8"/>
  <c r="E223" i="8"/>
  <c r="E222" i="8"/>
  <c r="E221" i="8"/>
  <c r="D268" i="8"/>
  <c r="D264" i="8"/>
  <c r="D260" i="8"/>
  <c r="D265" i="8"/>
  <c r="D261" i="8"/>
  <c r="D257" i="8"/>
  <c r="D266" i="8"/>
  <c r="D262" i="8"/>
  <c r="D258" i="8"/>
  <c r="D259" i="8"/>
  <c r="D267" i="8"/>
  <c r="D263" i="8"/>
  <c r="W29" i="5"/>
  <c r="D361" i="8"/>
  <c r="D357" i="8"/>
  <c r="D354" i="8"/>
  <c r="D364" i="8"/>
  <c r="D360" i="8"/>
  <c r="D356" i="8"/>
  <c r="D363" i="8"/>
  <c r="D359" i="8"/>
  <c r="D353" i="8"/>
  <c r="D362" i="8"/>
  <c r="D358" i="8"/>
  <c r="D355" i="8"/>
  <c r="AB11" i="7"/>
  <c r="F34" i="8"/>
  <c r="D88" i="8"/>
  <c r="D87" i="8"/>
  <c r="D86" i="8"/>
  <c r="D85" i="8"/>
  <c r="D84" i="8"/>
  <c r="D83" i="8"/>
  <c r="D82" i="8"/>
  <c r="D81" i="8"/>
  <c r="D80" i="8"/>
  <c r="D79" i="8"/>
  <c r="D78" i="8"/>
  <c r="D77" i="8"/>
  <c r="F135" i="8"/>
  <c r="F136" i="8"/>
  <c r="F133" i="8"/>
  <c r="F132" i="8"/>
  <c r="F131" i="8"/>
  <c r="F130" i="8"/>
  <c r="F129" i="8"/>
  <c r="F128" i="8"/>
  <c r="F127" i="8"/>
  <c r="F126" i="8"/>
  <c r="F125" i="8"/>
  <c r="F134" i="8"/>
  <c r="D179" i="8"/>
  <c r="D177" i="8"/>
  <c r="D175" i="8"/>
  <c r="D173" i="8"/>
  <c r="D183" i="8"/>
  <c r="D182" i="8"/>
  <c r="D181" i="8"/>
  <c r="D180" i="8"/>
  <c r="D178" i="8"/>
  <c r="D176" i="8"/>
  <c r="D174" i="8"/>
  <c r="D184" i="8"/>
  <c r="F232" i="8"/>
  <c r="N232" i="8" s="1"/>
  <c r="F228" i="8"/>
  <c r="N228" i="8" s="1"/>
  <c r="F229" i="8"/>
  <c r="N229" i="8" s="1"/>
  <c r="F230" i="8"/>
  <c r="N230" i="8" s="1"/>
  <c r="F226" i="8"/>
  <c r="N226" i="8" s="1"/>
  <c r="F231" i="8"/>
  <c r="N231" i="8" s="1"/>
  <c r="F222" i="8"/>
  <c r="N222" i="8" s="1"/>
  <c r="F227" i="8"/>
  <c r="N227" i="8" s="1"/>
  <c r="F221" i="8"/>
  <c r="N221" i="8" s="1"/>
  <c r="F225" i="8"/>
  <c r="N225" i="8" s="1"/>
  <c r="F224" i="8"/>
  <c r="N224" i="8" s="1"/>
  <c r="F223" i="8"/>
  <c r="N223" i="8" s="1"/>
  <c r="E244" i="8"/>
  <c r="E243" i="8"/>
  <c r="E242" i="8"/>
  <c r="E241" i="8"/>
  <c r="E240" i="8"/>
  <c r="E239" i="8"/>
  <c r="E238" i="8"/>
  <c r="E237" i="8"/>
  <c r="E236" i="8"/>
  <c r="E235" i="8"/>
  <c r="E234" i="8"/>
  <c r="E233" i="8"/>
  <c r="D280" i="8"/>
  <c r="D276" i="8"/>
  <c r="D272" i="8"/>
  <c r="D277" i="8"/>
  <c r="D273" i="8"/>
  <c r="D269" i="8"/>
  <c r="D278" i="8"/>
  <c r="D274" i="8"/>
  <c r="D270" i="8"/>
  <c r="D275" i="8"/>
  <c r="D271" i="8"/>
  <c r="D279" i="8"/>
  <c r="F324" i="8"/>
  <c r="F327" i="8"/>
  <c r="F317" i="8"/>
  <c r="F321" i="8"/>
  <c r="F318" i="8"/>
  <c r="F325" i="8"/>
  <c r="F319" i="8"/>
  <c r="F328" i="8"/>
  <c r="F326" i="8"/>
  <c r="F323" i="8"/>
  <c r="F320" i="8"/>
  <c r="F322" i="8"/>
  <c r="E333" i="8"/>
  <c r="E332" i="8"/>
  <c r="E331" i="8"/>
  <c r="E330" i="8"/>
  <c r="E329" i="8"/>
  <c r="E338" i="8"/>
  <c r="E334" i="8"/>
  <c r="E339" i="8"/>
  <c r="E335" i="8"/>
  <c r="E340" i="8"/>
  <c r="E336" i="8"/>
  <c r="E337" i="8"/>
  <c r="F33" i="8"/>
  <c r="F37" i="8"/>
  <c r="F52" i="8"/>
  <c r="F51" i="8"/>
  <c r="F50" i="8"/>
  <c r="F49" i="8"/>
  <c r="F48" i="8"/>
  <c r="F47" i="8"/>
  <c r="F46" i="8"/>
  <c r="F45" i="8"/>
  <c r="F44" i="8"/>
  <c r="F43" i="8"/>
  <c r="F42" i="8"/>
  <c r="F41" i="8"/>
  <c r="E64" i="8"/>
  <c r="E63" i="8"/>
  <c r="E62" i="8"/>
  <c r="E61" i="8"/>
  <c r="E60" i="8"/>
  <c r="E59" i="8"/>
  <c r="E58" i="8"/>
  <c r="E57" i="8"/>
  <c r="E56" i="8"/>
  <c r="E55" i="8"/>
  <c r="E54" i="8"/>
  <c r="E53" i="8"/>
  <c r="D100" i="8"/>
  <c r="D99" i="8"/>
  <c r="D98" i="8"/>
  <c r="D97" i="8"/>
  <c r="D96" i="8"/>
  <c r="D95" i="8"/>
  <c r="D94" i="8"/>
  <c r="D93" i="8"/>
  <c r="D92" i="8"/>
  <c r="D91" i="8"/>
  <c r="D90" i="8"/>
  <c r="D89" i="8"/>
  <c r="F147" i="8"/>
  <c r="F143" i="8"/>
  <c r="F139" i="8"/>
  <c r="F148" i="8"/>
  <c r="F144" i="8"/>
  <c r="F140" i="8"/>
  <c r="F145" i="8"/>
  <c r="F141" i="8"/>
  <c r="F137" i="8"/>
  <c r="F146" i="8"/>
  <c r="F142" i="8"/>
  <c r="F138" i="8"/>
  <c r="E158" i="8"/>
  <c r="E154" i="8"/>
  <c r="E150" i="8"/>
  <c r="E159" i="8"/>
  <c r="E155" i="8"/>
  <c r="E151" i="8"/>
  <c r="E160" i="8"/>
  <c r="E156" i="8"/>
  <c r="E152" i="8"/>
  <c r="E157" i="8"/>
  <c r="E153" i="8"/>
  <c r="E149" i="8"/>
  <c r="D196" i="8"/>
  <c r="D195" i="8"/>
  <c r="D194" i="8"/>
  <c r="D193" i="8"/>
  <c r="D192" i="8"/>
  <c r="D191" i="8"/>
  <c r="D190" i="8"/>
  <c r="D189" i="8"/>
  <c r="D188" i="8"/>
  <c r="D187" i="8"/>
  <c r="D186" i="8"/>
  <c r="D185" i="8"/>
  <c r="F244" i="8"/>
  <c r="N244" i="8" s="1"/>
  <c r="F243" i="8"/>
  <c r="N243" i="8" s="1"/>
  <c r="F242" i="8"/>
  <c r="N242" i="8" s="1"/>
  <c r="F241" i="8"/>
  <c r="N241" i="8" s="1"/>
  <c r="F240" i="8"/>
  <c r="N240" i="8" s="1"/>
  <c r="F239" i="8"/>
  <c r="N239" i="8" s="1"/>
  <c r="F238" i="8"/>
  <c r="N238" i="8" s="1"/>
  <c r="F237" i="8"/>
  <c r="N237" i="8" s="1"/>
  <c r="F236" i="8"/>
  <c r="N236" i="8" s="1"/>
  <c r="F233" i="8"/>
  <c r="N233" i="8" s="1"/>
  <c r="F234" i="8"/>
  <c r="N234" i="8" s="1"/>
  <c r="F235" i="8"/>
  <c r="N235" i="8" s="1"/>
  <c r="E256" i="8"/>
  <c r="E255" i="8"/>
  <c r="E254" i="8"/>
  <c r="E253" i="8"/>
  <c r="E252" i="8"/>
  <c r="E251" i="8"/>
  <c r="E250" i="8"/>
  <c r="E249" i="8"/>
  <c r="E248" i="8"/>
  <c r="E247" i="8"/>
  <c r="E246" i="8"/>
  <c r="E245" i="8"/>
  <c r="D292" i="8"/>
  <c r="D291" i="8"/>
  <c r="D290" i="8"/>
  <c r="D284" i="8"/>
  <c r="D289" i="8"/>
  <c r="D288" i="8"/>
  <c r="D287" i="8"/>
  <c r="D283" i="8"/>
  <c r="D281" i="8"/>
  <c r="D286" i="8"/>
  <c r="D285" i="8"/>
  <c r="D282" i="8"/>
  <c r="F338" i="8"/>
  <c r="N338" i="8" s="1"/>
  <c r="F334" i="8"/>
  <c r="N334" i="8" s="1"/>
  <c r="F339" i="8"/>
  <c r="N339" i="8" s="1"/>
  <c r="F335" i="8"/>
  <c r="N335" i="8" s="1"/>
  <c r="F340" i="8"/>
  <c r="N340" i="8" s="1"/>
  <c r="F336" i="8"/>
  <c r="N336" i="8" s="1"/>
  <c r="F337" i="8"/>
  <c r="N337" i="8" s="1"/>
  <c r="F332" i="8"/>
  <c r="N332" i="8" s="1"/>
  <c r="F330" i="8"/>
  <c r="N330" i="8" s="1"/>
  <c r="F333" i="8"/>
  <c r="N333" i="8" s="1"/>
  <c r="F331" i="8"/>
  <c r="N331" i="8" s="1"/>
  <c r="F329" i="8"/>
  <c r="N329" i="8" s="1"/>
  <c r="E351" i="8"/>
  <c r="E349" i="8"/>
  <c r="E346" i="8"/>
  <c r="E342" i="8"/>
  <c r="E347" i="8"/>
  <c r="E343" i="8"/>
  <c r="E350" i="8"/>
  <c r="E344" i="8"/>
  <c r="E352" i="8"/>
  <c r="E348" i="8"/>
  <c r="E345" i="8"/>
  <c r="E341" i="8"/>
  <c r="AF5" i="7"/>
  <c r="F29" i="8"/>
  <c r="F30" i="8"/>
  <c r="F31" i="8"/>
  <c r="F32" i="8"/>
  <c r="E76" i="8"/>
  <c r="E75" i="8"/>
  <c r="E74" i="8"/>
  <c r="E73" i="8"/>
  <c r="E72" i="8"/>
  <c r="E71" i="8"/>
  <c r="E70" i="8"/>
  <c r="E69" i="8"/>
  <c r="E68" i="8"/>
  <c r="E67" i="8"/>
  <c r="E66" i="8"/>
  <c r="E65" i="8"/>
  <c r="D112" i="8"/>
  <c r="D111" i="8"/>
  <c r="D110" i="8"/>
  <c r="D109" i="8"/>
  <c r="D108" i="8"/>
  <c r="D107" i="8"/>
  <c r="D106" i="8"/>
  <c r="D105" i="8"/>
  <c r="D104" i="8"/>
  <c r="D103" i="8"/>
  <c r="D102" i="8"/>
  <c r="D101" i="8"/>
  <c r="F159" i="8"/>
  <c r="F155" i="8"/>
  <c r="F151" i="8"/>
  <c r="F160" i="8"/>
  <c r="F156" i="8"/>
  <c r="F152" i="8"/>
  <c r="F157" i="8"/>
  <c r="F153" i="8"/>
  <c r="F149" i="8"/>
  <c r="F158" i="8"/>
  <c r="F154" i="8"/>
  <c r="F150" i="8"/>
  <c r="E170" i="8"/>
  <c r="E166" i="8"/>
  <c r="E162" i="8"/>
  <c r="E171" i="8"/>
  <c r="E167" i="8"/>
  <c r="E163" i="8"/>
  <c r="E168" i="8"/>
  <c r="E164" i="8"/>
  <c r="E172" i="8"/>
  <c r="E169" i="8"/>
  <c r="E165" i="8"/>
  <c r="E161" i="8"/>
  <c r="S20" i="5"/>
  <c r="D208" i="8"/>
  <c r="D204" i="8"/>
  <c r="D200" i="8"/>
  <c r="D205" i="8"/>
  <c r="D201" i="8"/>
  <c r="D206" i="8"/>
  <c r="D202" i="8"/>
  <c r="D198" i="8"/>
  <c r="D197" i="8"/>
  <c r="D199" i="8"/>
  <c r="D207" i="8"/>
  <c r="D203" i="8"/>
  <c r="F256" i="8"/>
  <c r="F252" i="8"/>
  <c r="F248" i="8"/>
  <c r="F247" i="8"/>
  <c r="F246" i="8"/>
  <c r="F245" i="8"/>
  <c r="F253" i="8"/>
  <c r="F249" i="8"/>
  <c r="F254" i="8"/>
  <c r="F250" i="8"/>
  <c r="F255" i="8"/>
  <c r="F251" i="8"/>
  <c r="E268" i="8"/>
  <c r="E267" i="8"/>
  <c r="E266" i="8"/>
  <c r="E265" i="8"/>
  <c r="E264" i="8"/>
  <c r="E263" i="8"/>
  <c r="E262" i="8"/>
  <c r="E261" i="8"/>
  <c r="E260" i="8"/>
  <c r="E259" i="8"/>
  <c r="E258" i="8"/>
  <c r="E257" i="8"/>
  <c r="D301" i="8"/>
  <c r="D300" i="8"/>
  <c r="D299" i="8"/>
  <c r="D298" i="8"/>
  <c r="D297" i="8"/>
  <c r="D296" i="8"/>
  <c r="D295" i="8"/>
  <c r="D294" i="8"/>
  <c r="D293" i="8"/>
  <c r="D302" i="8"/>
  <c r="D303" i="8"/>
  <c r="D304" i="8"/>
  <c r="F351" i="8"/>
  <c r="N351" i="8" s="1"/>
  <c r="F349" i="8"/>
  <c r="N349" i="8" s="1"/>
  <c r="F346" i="8"/>
  <c r="N346" i="8" s="1"/>
  <c r="F342" i="8"/>
  <c r="N342" i="8" s="1"/>
  <c r="F347" i="8"/>
  <c r="N347" i="8" s="1"/>
  <c r="F343" i="8"/>
  <c r="N343" i="8" s="1"/>
  <c r="F350" i="8"/>
  <c r="N350" i="8" s="1"/>
  <c r="F344" i="8"/>
  <c r="N344" i="8" s="1"/>
  <c r="F352" i="8"/>
  <c r="N352" i="8" s="1"/>
  <c r="F348" i="8"/>
  <c r="N348" i="8" s="1"/>
  <c r="F345" i="8"/>
  <c r="N345" i="8" s="1"/>
  <c r="F341" i="8"/>
  <c r="N341" i="8" s="1"/>
  <c r="E354" i="8"/>
  <c r="E364" i="8"/>
  <c r="E360" i="8"/>
  <c r="E356" i="8"/>
  <c r="E363" i="8"/>
  <c r="E359" i="8"/>
  <c r="E353" i="8"/>
  <c r="E362" i="8"/>
  <c r="E358" i="8"/>
  <c r="E355" i="8"/>
  <c r="E361" i="8"/>
  <c r="E357" i="8"/>
  <c r="AG5" i="7"/>
  <c r="F39" i="8"/>
  <c r="E88" i="8"/>
  <c r="E87" i="8"/>
  <c r="E86" i="8"/>
  <c r="E85" i="8"/>
  <c r="E84" i="8"/>
  <c r="E83" i="8"/>
  <c r="E82" i="8"/>
  <c r="E81" i="8"/>
  <c r="E80" i="8"/>
  <c r="E79" i="8"/>
  <c r="E78" i="8"/>
  <c r="E77" i="8"/>
  <c r="D120" i="8"/>
  <c r="D123" i="8"/>
  <c r="D117" i="8"/>
  <c r="D122" i="8"/>
  <c r="D119" i="8"/>
  <c r="D116" i="8"/>
  <c r="D121" i="8"/>
  <c r="D118" i="8"/>
  <c r="D114" i="8"/>
  <c r="D113" i="8"/>
  <c r="D124" i="8"/>
  <c r="D115" i="8"/>
  <c r="F171" i="8"/>
  <c r="N171" i="8" s="1"/>
  <c r="F167" i="8"/>
  <c r="N167" i="8" s="1"/>
  <c r="F163" i="8"/>
  <c r="N163" i="8" s="1"/>
  <c r="F168" i="8"/>
  <c r="N168" i="8" s="1"/>
  <c r="F164" i="8"/>
  <c r="N164" i="8" s="1"/>
  <c r="F172" i="8"/>
  <c r="N172" i="8" s="1"/>
  <c r="F169" i="8"/>
  <c r="N169" i="8" s="1"/>
  <c r="F165" i="8"/>
  <c r="N165" i="8" s="1"/>
  <c r="F161" i="8"/>
  <c r="N161" i="8" s="1"/>
  <c r="F162" i="8"/>
  <c r="N162" i="8" s="1"/>
  <c r="F170" i="8"/>
  <c r="N170" i="8" s="1"/>
  <c r="F166" i="8"/>
  <c r="N166" i="8" s="1"/>
  <c r="E184" i="8"/>
  <c r="E183" i="8"/>
  <c r="E179" i="8"/>
  <c r="E177" i="8"/>
  <c r="E175" i="8"/>
  <c r="E173" i="8"/>
  <c r="E182" i="8"/>
  <c r="E181" i="8"/>
  <c r="E180" i="8"/>
  <c r="E178" i="8"/>
  <c r="E176" i="8"/>
  <c r="E174" i="8"/>
  <c r="T20" i="5"/>
  <c r="S21" i="5"/>
  <c r="D219" i="8"/>
  <c r="D215" i="8"/>
  <c r="D217" i="8"/>
  <c r="D213" i="8"/>
  <c r="D218" i="8"/>
  <c r="D211" i="8"/>
  <c r="D220" i="8"/>
  <c r="D214" i="8"/>
  <c r="D209" i="8"/>
  <c r="D216" i="8"/>
  <c r="D212" i="8"/>
  <c r="D210" i="8"/>
  <c r="F268" i="8"/>
  <c r="F264" i="8"/>
  <c r="F260" i="8"/>
  <c r="F265" i="8"/>
  <c r="F261" i="8"/>
  <c r="F257" i="8"/>
  <c r="F266" i="8"/>
  <c r="F262" i="8"/>
  <c r="F258" i="8"/>
  <c r="F267" i="8"/>
  <c r="F263" i="8"/>
  <c r="F259" i="8"/>
  <c r="E280" i="8"/>
  <c r="E279" i="8"/>
  <c r="E278" i="8"/>
  <c r="E277" i="8"/>
  <c r="E276" i="8"/>
  <c r="E275" i="8"/>
  <c r="E274" i="8"/>
  <c r="E273" i="8"/>
  <c r="E272" i="8"/>
  <c r="E271" i="8"/>
  <c r="E270" i="8"/>
  <c r="E269" i="8"/>
  <c r="D314" i="8"/>
  <c r="D306" i="8"/>
  <c r="D315" i="8"/>
  <c r="D307" i="8"/>
  <c r="D316" i="8"/>
  <c r="D308" i="8"/>
  <c r="D309" i="8"/>
  <c r="D310" i="8"/>
  <c r="D311" i="8"/>
  <c r="D312" i="8"/>
  <c r="D313" i="8"/>
  <c r="D305" i="8"/>
  <c r="F364" i="8"/>
  <c r="N364" i="8" s="1"/>
  <c r="F360" i="8"/>
  <c r="N360" i="8" s="1"/>
  <c r="F356" i="8"/>
  <c r="N356" i="8" s="1"/>
  <c r="F363" i="8"/>
  <c r="N363" i="8" s="1"/>
  <c r="F359" i="8"/>
  <c r="N359" i="8" s="1"/>
  <c r="F353" i="8"/>
  <c r="N353" i="8" s="1"/>
  <c r="F362" i="8"/>
  <c r="N362" i="8" s="1"/>
  <c r="F358" i="8"/>
  <c r="N358" i="8" s="1"/>
  <c r="F355" i="8"/>
  <c r="N355" i="8" s="1"/>
  <c r="F361" i="8"/>
  <c r="N361" i="8" s="1"/>
  <c r="F357" i="8"/>
  <c r="N357" i="8" s="1"/>
  <c r="F354" i="8"/>
  <c r="N354" i="8" s="1"/>
  <c r="F36" i="8"/>
  <c r="H8" i="9"/>
  <c r="G8" i="9"/>
  <c r="F8" i="9"/>
  <c r="E8" i="9"/>
  <c r="J8" i="9" s="1"/>
  <c r="C16" i="10" s="1"/>
  <c r="D8" i="9"/>
  <c r="C8" i="9"/>
  <c r="H16" i="9"/>
  <c r="G16" i="9"/>
  <c r="F16" i="9"/>
  <c r="E16" i="9"/>
  <c r="J16" i="9" s="1"/>
  <c r="C24" i="10" s="1"/>
  <c r="D16" i="9"/>
  <c r="C16" i="9"/>
  <c r="D12" i="9"/>
  <c r="H11" i="9"/>
  <c r="G11" i="9"/>
  <c r="L11" i="9" s="1"/>
  <c r="D19" i="10" s="1"/>
  <c r="F11" i="9"/>
  <c r="E11" i="9"/>
  <c r="C7" i="9"/>
  <c r="I7" i="9" s="1"/>
  <c r="C11" i="9"/>
  <c r="I11" i="9" s="1"/>
  <c r="C15" i="9"/>
  <c r="I15" i="9" s="1"/>
  <c r="D11" i="9"/>
  <c r="G6" i="9"/>
  <c r="L6" i="9" s="1"/>
  <c r="D14" i="10" s="1"/>
  <c r="F6" i="9"/>
  <c r="E6" i="9"/>
  <c r="D6" i="9"/>
  <c r="G14" i="9"/>
  <c r="L14" i="9" s="1"/>
  <c r="D22" i="10" s="1"/>
  <c r="F14" i="9"/>
  <c r="E14" i="9"/>
  <c r="J14" i="9" s="1"/>
  <c r="C22" i="10" s="1"/>
  <c r="D14" i="9"/>
  <c r="H5" i="9"/>
  <c r="H13" i="9"/>
  <c r="F9" i="9"/>
  <c r="E9" i="9"/>
  <c r="J9" i="9" s="1"/>
  <c r="C17" i="10" s="1"/>
  <c r="D9" i="9"/>
  <c r="C9" i="9"/>
  <c r="G5" i="9"/>
  <c r="G13" i="9"/>
  <c r="L13" i="9" s="1"/>
  <c r="D21" i="10" s="1"/>
  <c r="M181" i="8" l="1"/>
  <c r="M357" i="8"/>
  <c r="M356" i="8"/>
  <c r="M172" i="8"/>
  <c r="M170" i="8"/>
  <c r="M350" i="8"/>
  <c r="M337" i="8"/>
  <c r="M330" i="8"/>
  <c r="M236" i="8"/>
  <c r="M244" i="8"/>
  <c r="Y29" i="5"/>
  <c r="Z29" i="5" s="1"/>
  <c r="X29" i="5"/>
  <c r="M223" i="8"/>
  <c r="M231" i="8"/>
  <c r="M198" i="8"/>
  <c r="M191" i="8"/>
  <c r="Y14" i="5"/>
  <c r="Z14" i="5" s="1"/>
  <c r="X14" i="5"/>
  <c r="AO8" i="7"/>
  <c r="AN8" i="7"/>
  <c r="AM8" i="7"/>
  <c r="AL8" i="7"/>
  <c r="AK8" i="7"/>
  <c r="AJ8" i="7"/>
  <c r="AO10" i="7"/>
  <c r="AN10" i="7"/>
  <c r="AM10" i="7"/>
  <c r="AL10" i="7"/>
  <c r="AK10" i="7"/>
  <c r="AJ10" i="7"/>
  <c r="M104" i="8"/>
  <c r="M112" i="8"/>
  <c r="M93" i="8"/>
  <c r="M176" i="8"/>
  <c r="M361" i="8"/>
  <c r="M164" i="8"/>
  <c r="M343" i="8"/>
  <c r="M336" i="8"/>
  <c r="M331" i="8"/>
  <c r="M237" i="8"/>
  <c r="AF11" i="7"/>
  <c r="AI11" i="7"/>
  <c r="O11" i="7" s="1"/>
  <c r="Z11" i="7" s="1"/>
  <c r="AA11" i="7" s="1"/>
  <c r="V11" i="7" s="1"/>
  <c r="AH11" i="7"/>
  <c r="AG11" i="7"/>
  <c r="M224" i="8"/>
  <c r="M232" i="8"/>
  <c r="X28" i="5"/>
  <c r="Y28" i="5" s="1"/>
  <c r="Z28" i="5" s="1"/>
  <c r="M202" i="8"/>
  <c r="I6" i="9"/>
  <c r="M192" i="8"/>
  <c r="X8" i="5"/>
  <c r="Z8" i="5"/>
  <c r="Y8" i="5"/>
  <c r="X22" i="5"/>
  <c r="Y22" i="5" s="1"/>
  <c r="Z22" i="5" s="1"/>
  <c r="AJ7" i="7"/>
  <c r="AO7" i="7"/>
  <c r="AN7" i="7"/>
  <c r="AM7" i="7"/>
  <c r="AL7" i="7"/>
  <c r="AK7" i="7"/>
  <c r="AH9" i="7"/>
  <c r="AG9" i="7"/>
  <c r="AF9" i="7"/>
  <c r="M105" i="8"/>
  <c r="M94" i="8"/>
  <c r="AH12" i="7"/>
  <c r="AG12" i="7"/>
  <c r="AF12" i="7"/>
  <c r="M179" i="8"/>
  <c r="L5" i="9"/>
  <c r="M182" i="8"/>
  <c r="M360" i="8"/>
  <c r="I9" i="9"/>
  <c r="J6" i="9"/>
  <c r="C14" i="10" s="1"/>
  <c r="B23" i="10"/>
  <c r="M173" i="8"/>
  <c r="M355" i="8"/>
  <c r="M364" i="8"/>
  <c r="M168" i="8"/>
  <c r="M347" i="8"/>
  <c r="M340" i="8"/>
  <c r="M332" i="8"/>
  <c r="M238" i="8"/>
  <c r="M225" i="8"/>
  <c r="L7" i="9"/>
  <c r="D15" i="10" s="1"/>
  <c r="M206" i="8"/>
  <c r="I14" i="9"/>
  <c r="M185" i="8"/>
  <c r="M193" i="8"/>
  <c r="Y15" i="5"/>
  <c r="X15" i="5"/>
  <c r="Z15" i="5"/>
  <c r="AH7" i="7"/>
  <c r="AG7" i="7"/>
  <c r="AF7" i="7"/>
  <c r="AI7" i="7" s="1"/>
  <c r="O7" i="7" s="1"/>
  <c r="Z7" i="7" s="1"/>
  <c r="AA7" i="7" s="1"/>
  <c r="V7" i="7" s="1"/>
  <c r="AL9" i="7"/>
  <c r="AK9" i="7"/>
  <c r="AJ9" i="7"/>
  <c r="AO9" i="7"/>
  <c r="AN9" i="7"/>
  <c r="AM9" i="7"/>
  <c r="M106" i="8"/>
  <c r="M95" i="8"/>
  <c r="AK12" i="7"/>
  <c r="AJ12" i="7"/>
  <c r="AO12" i="7"/>
  <c r="AN12" i="7"/>
  <c r="AM12" i="7"/>
  <c r="AL12" i="7"/>
  <c r="B19" i="10"/>
  <c r="L16" i="9"/>
  <c r="D24" i="10" s="1"/>
  <c r="L8" i="9"/>
  <c r="D16" i="10" s="1"/>
  <c r="M175" i="8"/>
  <c r="M358" i="8"/>
  <c r="M354" i="8"/>
  <c r="M163" i="8"/>
  <c r="M341" i="8"/>
  <c r="M342" i="8"/>
  <c r="M335" i="8"/>
  <c r="M333" i="8"/>
  <c r="M239" i="8"/>
  <c r="M226" i="8"/>
  <c r="AO5" i="7"/>
  <c r="AN5" i="7"/>
  <c r="AM5" i="7"/>
  <c r="AL5" i="7"/>
  <c r="AK5" i="7"/>
  <c r="AJ5" i="7"/>
  <c r="M201" i="8"/>
  <c r="I5" i="9"/>
  <c r="M186" i="8"/>
  <c r="M194" i="8"/>
  <c r="X16" i="5"/>
  <c r="Y16" i="5"/>
  <c r="Z16" i="5" s="1"/>
  <c r="AH6" i="7"/>
  <c r="AG6" i="7"/>
  <c r="AF6" i="7"/>
  <c r="M107" i="8"/>
  <c r="X9" i="5"/>
  <c r="Y9" i="5" s="1"/>
  <c r="Z9" i="5" s="1"/>
  <c r="M96" i="8"/>
  <c r="X26" i="5"/>
  <c r="Y26" i="5" s="1"/>
  <c r="Z26" i="5" s="1"/>
  <c r="M174" i="8"/>
  <c r="M177" i="8"/>
  <c r="M362" i="8"/>
  <c r="M167" i="8"/>
  <c r="M345" i="8"/>
  <c r="M346" i="8"/>
  <c r="M339" i="8"/>
  <c r="M240" i="8"/>
  <c r="M227" i="8"/>
  <c r="M199" i="8"/>
  <c r="M205" i="8"/>
  <c r="I13" i="9"/>
  <c r="M187" i="8"/>
  <c r="M195" i="8"/>
  <c r="X17" i="5"/>
  <c r="Y17" i="5" s="1"/>
  <c r="Z17" i="5" s="1"/>
  <c r="AM6" i="7"/>
  <c r="AL6" i="7"/>
  <c r="AK6" i="7"/>
  <c r="AJ6" i="7"/>
  <c r="AO6" i="7"/>
  <c r="AN6" i="7"/>
  <c r="M108" i="8"/>
  <c r="M90" i="8"/>
  <c r="M97" i="8"/>
  <c r="X25" i="5"/>
  <c r="Y25" i="5" s="1"/>
  <c r="Z25" i="5" s="1"/>
  <c r="B15" i="10"/>
  <c r="K7" i="9"/>
  <c r="E15" i="10" s="1"/>
  <c r="M161" i="8"/>
  <c r="M171" i="8"/>
  <c r="M348" i="8"/>
  <c r="M349" i="8"/>
  <c r="M334" i="8"/>
  <c r="M233" i="8"/>
  <c r="M241" i="8"/>
  <c r="M228" i="8"/>
  <c r="M203" i="8"/>
  <c r="M200" i="8"/>
  <c r="I12" i="9"/>
  <c r="M188" i="8"/>
  <c r="M196" i="8"/>
  <c r="M101" i="8"/>
  <c r="M109" i="8"/>
  <c r="M91" i="8"/>
  <c r="M98" i="8"/>
  <c r="M178" i="8"/>
  <c r="M183" i="8"/>
  <c r="M359" i="8"/>
  <c r="M165" i="8"/>
  <c r="M162" i="8"/>
  <c r="M352" i="8"/>
  <c r="M351" i="8"/>
  <c r="M338" i="8"/>
  <c r="M234" i="8"/>
  <c r="M242" i="8"/>
  <c r="M221" i="8"/>
  <c r="M229" i="8"/>
  <c r="J5" i="9"/>
  <c r="M207" i="8"/>
  <c r="M204" i="8"/>
  <c r="I10" i="9"/>
  <c r="M189" i="8"/>
  <c r="AH14" i="7"/>
  <c r="AG14" i="7"/>
  <c r="AF14" i="7"/>
  <c r="M102" i="8"/>
  <c r="M110" i="8"/>
  <c r="M89" i="8"/>
  <c r="M99" i="8"/>
  <c r="M353" i="8"/>
  <c r="J11" i="9"/>
  <c r="C19" i="10" s="1"/>
  <c r="I16" i="9"/>
  <c r="I8" i="9"/>
  <c r="M180" i="8"/>
  <c r="M184" i="8"/>
  <c r="M363" i="8"/>
  <c r="M169" i="8"/>
  <c r="M166" i="8"/>
  <c r="M344" i="8"/>
  <c r="M329" i="8"/>
  <c r="M235" i="8"/>
  <c r="M243" i="8"/>
  <c r="M222" i="8"/>
  <c r="M230" i="8"/>
  <c r="J15" i="9"/>
  <c r="C23" i="10" s="1"/>
  <c r="M197" i="8"/>
  <c r="M208" i="8"/>
  <c r="M190" i="8"/>
  <c r="AM14" i="7"/>
  <c r="AL14" i="7"/>
  <c r="AK14" i="7"/>
  <c r="AJ14" i="7"/>
  <c r="AO14" i="7"/>
  <c r="AN14" i="7"/>
  <c r="X5" i="5"/>
  <c r="Y5" i="5" s="1"/>
  <c r="Z5" i="5" s="1"/>
  <c r="AG8" i="7"/>
  <c r="AF8" i="7"/>
  <c r="AH8" i="7"/>
  <c r="AH10" i="7"/>
  <c r="AG10" i="7"/>
  <c r="AF10" i="7"/>
  <c r="M103" i="8"/>
  <c r="M111" i="8"/>
  <c r="M92" i="8"/>
  <c r="M100" i="8"/>
  <c r="B24" i="10" l="1"/>
  <c r="K16" i="9"/>
  <c r="E24" i="10" s="1"/>
  <c r="K12" i="9"/>
  <c r="E20" i="10" s="1"/>
  <c r="B20" i="10"/>
  <c r="B16" i="10"/>
  <c r="K8" i="9"/>
  <c r="E16" i="10" s="1"/>
  <c r="B14" i="10"/>
  <c r="K6" i="9"/>
  <c r="E14" i="10" s="1"/>
  <c r="B22" i="10"/>
  <c r="K14" i="9"/>
  <c r="E22" i="10" s="1"/>
  <c r="K15" i="9"/>
  <c r="E23" i="10" s="1"/>
  <c r="C13" i="10"/>
  <c r="J18" i="9"/>
  <c r="B21" i="10"/>
  <c r="K13" i="9"/>
  <c r="E21" i="10" s="1"/>
  <c r="K11" i="9"/>
  <c r="E19" i="10" s="1"/>
  <c r="K9" i="9"/>
  <c r="E17" i="10" s="1"/>
  <c r="B17" i="10"/>
  <c r="D13" i="10"/>
  <c r="L18" i="9"/>
  <c r="D8" i="10"/>
  <c r="K10" i="9"/>
  <c r="E18" i="10" s="1"/>
  <c r="B18" i="10"/>
  <c r="B13" i="10"/>
  <c r="I18" i="9"/>
  <c r="K5" i="9"/>
  <c r="K18" i="9" l="1"/>
  <c r="E13" i="10"/>
  <c r="D7" i="10"/>
  <c r="O5" i="5"/>
  <c r="P5" i="5"/>
  <c r="Q5" i="5"/>
  <c r="R5" i="5"/>
  <c r="S5" i="5"/>
  <c r="T5" i="5"/>
  <c r="U5" i="5"/>
  <c r="V5" i="5"/>
  <c r="O6" i="5"/>
  <c r="P6" i="5"/>
  <c r="Q6" i="5"/>
  <c r="R6" i="5"/>
  <c r="S6" i="5"/>
  <c r="T6" i="5"/>
  <c r="U6" i="5"/>
  <c r="V6" i="5"/>
  <c r="O7" i="5"/>
  <c r="P7" i="5"/>
  <c r="Q7" i="5"/>
  <c r="R7" i="5"/>
  <c r="S7" i="5"/>
  <c r="T7" i="5"/>
  <c r="U7" i="5"/>
  <c r="V7" i="5"/>
  <c r="O8" i="5"/>
  <c r="P8" i="5"/>
  <c r="Q8" i="5"/>
  <c r="R8" i="5"/>
  <c r="S8" i="5"/>
  <c r="T8" i="5"/>
  <c r="U8" i="5"/>
  <c r="V8" i="5"/>
  <c r="O9" i="5"/>
  <c r="P9" i="5"/>
  <c r="Q9" i="5"/>
  <c r="R9" i="5"/>
  <c r="S9" i="5"/>
  <c r="T9" i="5"/>
  <c r="U9" i="5"/>
  <c r="V9" i="5"/>
  <c r="O10" i="5"/>
  <c r="P10" i="5"/>
  <c r="Q10" i="5"/>
  <c r="R10" i="5"/>
  <c r="S10" i="5"/>
  <c r="T10" i="5"/>
  <c r="U10" i="5"/>
  <c r="V10" i="5"/>
  <c r="O11" i="5"/>
  <c r="P11" i="5"/>
  <c r="Q11" i="5"/>
  <c r="R11" i="5"/>
  <c r="S11" i="5"/>
  <c r="T11" i="5"/>
  <c r="U11" i="5"/>
  <c r="V11" i="5"/>
  <c r="O12" i="5"/>
  <c r="P12" i="5"/>
  <c r="Q12" i="5"/>
  <c r="R12" i="5"/>
  <c r="U12" i="5"/>
  <c r="V12" i="5"/>
  <c r="O13" i="5"/>
  <c r="P13" i="5"/>
  <c r="Q13" i="5"/>
  <c r="R13" i="5"/>
  <c r="U13" i="5"/>
  <c r="V13" i="5"/>
  <c r="O14" i="5"/>
  <c r="P14" i="5"/>
  <c r="Q14" i="5"/>
  <c r="R14" i="5"/>
  <c r="S14" i="5"/>
  <c r="T14" i="5"/>
  <c r="U14" i="5"/>
  <c r="V14" i="5"/>
  <c r="O15" i="5"/>
  <c r="P15" i="5"/>
  <c r="Q15" i="5"/>
  <c r="R15" i="5"/>
  <c r="S15" i="5"/>
  <c r="T15" i="5"/>
  <c r="U15" i="5"/>
  <c r="V15" i="5"/>
  <c r="O16" i="5"/>
  <c r="P16" i="5"/>
  <c r="Q16" i="5"/>
  <c r="R16" i="5"/>
  <c r="S16" i="5"/>
  <c r="T16" i="5"/>
  <c r="U16" i="5"/>
  <c r="V16" i="5"/>
  <c r="O17" i="5"/>
  <c r="P17" i="5"/>
  <c r="Q17" i="5"/>
  <c r="R17" i="5"/>
  <c r="S17" i="5"/>
  <c r="T17" i="5"/>
  <c r="U17" i="5"/>
  <c r="V17" i="5"/>
  <c r="O18" i="5"/>
  <c r="P18" i="5"/>
  <c r="Q18" i="5"/>
  <c r="R18" i="5"/>
  <c r="U18" i="5"/>
  <c r="V18" i="5"/>
  <c r="O19" i="5"/>
  <c r="P19" i="5"/>
  <c r="Q19" i="5"/>
  <c r="R19" i="5"/>
  <c r="U19" i="5"/>
  <c r="V19" i="5"/>
  <c r="O20" i="5"/>
  <c r="P20" i="5"/>
  <c r="Q20" i="5"/>
  <c r="R20" i="5"/>
  <c r="U20" i="5"/>
  <c r="V20" i="5"/>
  <c r="O21" i="5"/>
  <c r="P21" i="5"/>
  <c r="Q21" i="5"/>
  <c r="R21" i="5"/>
  <c r="U21" i="5"/>
  <c r="V21" i="5"/>
  <c r="O22" i="5"/>
  <c r="P22" i="5"/>
  <c r="Q22" i="5"/>
  <c r="R22" i="5"/>
  <c r="S22" i="5"/>
  <c r="T22" i="5"/>
  <c r="U22" i="5"/>
  <c r="V22" i="5"/>
  <c r="O23" i="5"/>
  <c r="P23" i="5"/>
  <c r="Q23" i="5"/>
  <c r="R23" i="5"/>
  <c r="U23" i="5"/>
  <c r="V23" i="5"/>
  <c r="O24" i="5"/>
  <c r="P24" i="5"/>
  <c r="Q24" i="5"/>
  <c r="R24" i="5"/>
  <c r="U24" i="5"/>
  <c r="V24" i="5"/>
  <c r="O25" i="5"/>
  <c r="P25" i="5"/>
  <c r="Q25" i="5"/>
  <c r="R25" i="5"/>
  <c r="S25" i="5"/>
  <c r="T25" i="5"/>
  <c r="U25" i="5"/>
  <c r="V25" i="5"/>
  <c r="O26" i="5"/>
  <c r="P26" i="5"/>
  <c r="Q26" i="5"/>
  <c r="R26" i="5"/>
  <c r="S26" i="5"/>
  <c r="T26" i="5"/>
  <c r="U26" i="5"/>
  <c r="V26" i="5"/>
  <c r="O27" i="5"/>
  <c r="P27" i="5"/>
  <c r="Q27" i="5"/>
  <c r="R27" i="5"/>
  <c r="S27" i="5"/>
  <c r="T27" i="5"/>
  <c r="U27" i="5"/>
  <c r="V27" i="5"/>
  <c r="O28" i="5"/>
  <c r="P28" i="5"/>
  <c r="Q28" i="5"/>
  <c r="R28" i="5"/>
  <c r="S28" i="5"/>
  <c r="T28" i="5"/>
  <c r="U28" i="5"/>
  <c r="V28" i="5"/>
  <c r="O29" i="5"/>
  <c r="P29" i="5"/>
  <c r="Q29" i="5"/>
  <c r="R29" i="5"/>
  <c r="S29" i="5"/>
  <c r="T29" i="5"/>
  <c r="U29" i="5"/>
  <c r="V29" i="5"/>
  <c r="O30" i="5"/>
  <c r="P30" i="5"/>
  <c r="Q30" i="5"/>
  <c r="R30" i="5"/>
  <c r="S30" i="5"/>
  <c r="T30" i="5"/>
  <c r="U30" i="5"/>
  <c r="V30" i="5"/>
  <c r="O31" i="5"/>
  <c r="P31" i="5"/>
  <c r="Q31" i="5"/>
  <c r="R31" i="5"/>
  <c r="S31" i="5"/>
  <c r="T31" i="5"/>
  <c r="U31" i="5"/>
  <c r="V31" i="5"/>
  <c r="O32" i="5"/>
  <c r="P32" i="5"/>
  <c r="Q32" i="5"/>
  <c r="R32" i="5"/>
  <c r="U32" i="5"/>
  <c r="V32" i="5"/>
  <c r="O33" i="5"/>
  <c r="P33" i="5"/>
  <c r="Q33" i="5"/>
  <c r="R33" i="5"/>
  <c r="U33" i="5"/>
  <c r="V33" i="5"/>
  <c r="O34" i="5"/>
  <c r="P34" i="5"/>
  <c r="Q34" i="5"/>
  <c r="R34" i="5"/>
  <c r="U34" i="5"/>
  <c r="V34" i="5"/>
  <c r="D9" i="10"/>
  <c r="O5" i="7"/>
  <c r="V5" i="7"/>
  <c r="Z5" i="7"/>
  <c r="AA5" i="7"/>
  <c r="AD5" i="7"/>
  <c r="AE5" i="7"/>
  <c r="AI5" i="7"/>
  <c r="O6" i="7"/>
  <c r="V6" i="7"/>
  <c r="Z6" i="7"/>
  <c r="AA6" i="7"/>
  <c r="AD6" i="7"/>
  <c r="AE6" i="7"/>
  <c r="AI6" i="7"/>
  <c r="AD7" i="7"/>
  <c r="AE7" i="7"/>
  <c r="O8" i="7"/>
  <c r="V8" i="7"/>
  <c r="Z8" i="7"/>
  <c r="AA8" i="7"/>
  <c r="AD8" i="7"/>
  <c r="AE8" i="7"/>
  <c r="AI8" i="7"/>
  <c r="O9" i="7"/>
  <c r="V9" i="7"/>
  <c r="Z9" i="7"/>
  <c r="AA9" i="7"/>
  <c r="AD9" i="7"/>
  <c r="AE9" i="7"/>
  <c r="AI9" i="7"/>
  <c r="O10" i="7"/>
  <c r="V10" i="7"/>
  <c r="Z10" i="7"/>
  <c r="AA10" i="7"/>
  <c r="AD10" i="7"/>
  <c r="AE10" i="7"/>
  <c r="AI10" i="7"/>
  <c r="AD11" i="7"/>
  <c r="AE11" i="7"/>
  <c r="O12" i="7"/>
  <c r="V12" i="7"/>
  <c r="Z12" i="7"/>
  <c r="AA12" i="7"/>
  <c r="AD12" i="7"/>
  <c r="AE12" i="7"/>
  <c r="AI12" i="7"/>
  <c r="AD13" i="7"/>
  <c r="AE13" i="7"/>
  <c r="O14" i="7"/>
  <c r="V14" i="7"/>
  <c r="Z14" i="7"/>
  <c r="AA14" i="7"/>
  <c r="AD14" i="7"/>
  <c r="AE14" i="7"/>
  <c r="AI14" i="7"/>
  <c r="I5" i="8"/>
  <c r="J5" i="8"/>
  <c r="K5" i="8"/>
  <c r="L5" i="8"/>
  <c r="M5" i="8"/>
  <c r="N5" i="8"/>
  <c r="O5" i="8"/>
  <c r="P5" i="8"/>
  <c r="Q5" i="8"/>
  <c r="R5" i="8"/>
  <c r="I6" i="8"/>
  <c r="J6" i="8"/>
  <c r="K6" i="8"/>
  <c r="L6" i="8"/>
  <c r="M6" i="8"/>
  <c r="N6" i="8"/>
  <c r="O6" i="8"/>
  <c r="P6" i="8"/>
  <c r="Q6" i="8"/>
  <c r="R6" i="8"/>
  <c r="I7" i="8"/>
  <c r="J7" i="8"/>
  <c r="K7" i="8"/>
  <c r="L7" i="8"/>
  <c r="M7" i="8"/>
  <c r="N7" i="8"/>
  <c r="O7" i="8"/>
  <c r="P7" i="8"/>
  <c r="Q7" i="8"/>
  <c r="R7" i="8"/>
  <c r="I8" i="8"/>
  <c r="J8" i="8"/>
  <c r="K8" i="8"/>
  <c r="L8" i="8"/>
  <c r="M8" i="8"/>
  <c r="N8" i="8"/>
  <c r="O8" i="8"/>
  <c r="P8" i="8"/>
  <c r="Q8" i="8"/>
  <c r="R8" i="8"/>
  <c r="I9" i="8"/>
  <c r="J9" i="8"/>
  <c r="K9" i="8"/>
  <c r="L9" i="8"/>
  <c r="M9" i="8"/>
  <c r="N9" i="8"/>
  <c r="O9" i="8"/>
  <c r="P9" i="8"/>
  <c r="Q9" i="8"/>
  <c r="R9" i="8"/>
  <c r="I10" i="8"/>
  <c r="J10" i="8"/>
  <c r="K10" i="8"/>
  <c r="L10" i="8"/>
  <c r="M10" i="8"/>
  <c r="N10" i="8"/>
  <c r="O10" i="8"/>
  <c r="P10" i="8"/>
  <c r="Q10" i="8"/>
  <c r="R10" i="8"/>
  <c r="I11" i="8"/>
  <c r="J11" i="8"/>
  <c r="K11" i="8"/>
  <c r="L11" i="8"/>
  <c r="M11" i="8"/>
  <c r="N11" i="8"/>
  <c r="O11" i="8"/>
  <c r="P11" i="8"/>
  <c r="Q11" i="8"/>
  <c r="R11" i="8"/>
  <c r="I12" i="8"/>
  <c r="J12" i="8"/>
  <c r="K12" i="8"/>
  <c r="L12" i="8"/>
  <c r="M12" i="8"/>
  <c r="N12" i="8"/>
  <c r="O12" i="8"/>
  <c r="P12" i="8"/>
  <c r="Q12" i="8"/>
  <c r="R12" i="8"/>
  <c r="I13" i="8"/>
  <c r="J13" i="8"/>
  <c r="K13" i="8"/>
  <c r="L13" i="8"/>
  <c r="M13" i="8"/>
  <c r="N13" i="8"/>
  <c r="O13" i="8"/>
  <c r="P13" i="8"/>
  <c r="Q13" i="8"/>
  <c r="R13" i="8"/>
  <c r="I14" i="8"/>
  <c r="J14" i="8"/>
  <c r="K14" i="8"/>
  <c r="L14" i="8"/>
  <c r="M14" i="8"/>
  <c r="N14" i="8"/>
  <c r="O14" i="8"/>
  <c r="P14" i="8"/>
  <c r="Q14" i="8"/>
  <c r="R14" i="8"/>
  <c r="I15" i="8"/>
  <c r="J15" i="8"/>
  <c r="K15" i="8"/>
  <c r="L15" i="8"/>
  <c r="M15" i="8"/>
  <c r="N15" i="8"/>
  <c r="O15" i="8"/>
  <c r="P15" i="8"/>
  <c r="Q15" i="8"/>
  <c r="R15" i="8"/>
  <c r="I16" i="8"/>
  <c r="J16" i="8"/>
  <c r="K16" i="8"/>
  <c r="L16" i="8"/>
  <c r="M16" i="8"/>
  <c r="N16" i="8"/>
  <c r="O16" i="8"/>
  <c r="P16" i="8"/>
  <c r="Q16" i="8"/>
  <c r="R16" i="8"/>
  <c r="I17" i="8"/>
  <c r="J17" i="8"/>
  <c r="K17" i="8"/>
  <c r="L17" i="8"/>
  <c r="M17" i="8"/>
  <c r="N17" i="8"/>
  <c r="O17" i="8"/>
  <c r="P17" i="8"/>
  <c r="Q17" i="8"/>
  <c r="R17" i="8"/>
  <c r="I18" i="8"/>
  <c r="J18" i="8"/>
  <c r="K18" i="8"/>
  <c r="L18" i="8"/>
  <c r="M18" i="8"/>
  <c r="N18" i="8"/>
  <c r="O18" i="8"/>
  <c r="P18" i="8"/>
  <c r="Q18" i="8"/>
  <c r="R18" i="8"/>
  <c r="I19" i="8"/>
  <c r="J19" i="8"/>
  <c r="K19" i="8"/>
  <c r="L19" i="8"/>
  <c r="M19" i="8"/>
  <c r="N19" i="8"/>
  <c r="O19" i="8"/>
  <c r="P19" i="8"/>
  <c r="Q19" i="8"/>
  <c r="R19" i="8"/>
  <c r="I20" i="8"/>
  <c r="J20" i="8"/>
  <c r="K20" i="8"/>
  <c r="L20" i="8"/>
  <c r="M20" i="8"/>
  <c r="N20" i="8"/>
  <c r="O20" i="8"/>
  <c r="P20" i="8"/>
  <c r="Q20" i="8"/>
  <c r="R20" i="8"/>
  <c r="I21" i="8"/>
  <c r="J21" i="8"/>
  <c r="K21" i="8"/>
  <c r="L21" i="8"/>
  <c r="M21" i="8"/>
  <c r="N21" i="8"/>
  <c r="O21" i="8"/>
  <c r="P21" i="8"/>
  <c r="Q21" i="8"/>
  <c r="R21" i="8"/>
  <c r="I22" i="8"/>
  <c r="J22" i="8"/>
  <c r="K22" i="8"/>
  <c r="L22" i="8"/>
  <c r="M22" i="8"/>
  <c r="N22" i="8"/>
  <c r="O22" i="8"/>
  <c r="P22" i="8"/>
  <c r="Q22" i="8"/>
  <c r="R22" i="8"/>
  <c r="I23" i="8"/>
  <c r="J23" i="8"/>
  <c r="K23" i="8"/>
  <c r="L23" i="8"/>
  <c r="M23" i="8"/>
  <c r="N23" i="8"/>
  <c r="O23" i="8"/>
  <c r="P23" i="8"/>
  <c r="Q23" i="8"/>
  <c r="R23" i="8"/>
  <c r="I24" i="8"/>
  <c r="J24" i="8"/>
  <c r="K24" i="8"/>
  <c r="L24" i="8"/>
  <c r="M24" i="8"/>
  <c r="N24" i="8"/>
  <c r="O24" i="8"/>
  <c r="P24" i="8"/>
  <c r="Q24" i="8"/>
  <c r="R24" i="8"/>
  <c r="I25" i="8"/>
  <c r="J25" i="8"/>
  <c r="K25" i="8"/>
  <c r="L25" i="8"/>
  <c r="M25" i="8"/>
  <c r="N25" i="8"/>
  <c r="O25" i="8"/>
  <c r="P25" i="8"/>
  <c r="Q25" i="8"/>
  <c r="R25" i="8"/>
  <c r="I26" i="8"/>
  <c r="J26" i="8"/>
  <c r="K26" i="8"/>
  <c r="L26" i="8"/>
  <c r="M26" i="8"/>
  <c r="N26" i="8"/>
  <c r="O26" i="8"/>
  <c r="P26" i="8"/>
  <c r="Q26" i="8"/>
  <c r="R26" i="8"/>
  <c r="I27" i="8"/>
  <c r="J27" i="8"/>
  <c r="K27" i="8"/>
  <c r="L27" i="8"/>
  <c r="M27" i="8"/>
  <c r="N27" i="8"/>
  <c r="O27" i="8"/>
  <c r="P27" i="8"/>
  <c r="Q27" i="8"/>
  <c r="R27" i="8"/>
  <c r="I28" i="8"/>
  <c r="J28" i="8"/>
  <c r="K28" i="8"/>
  <c r="L28" i="8"/>
  <c r="M28" i="8"/>
  <c r="N28" i="8"/>
  <c r="O28" i="8"/>
  <c r="P28" i="8"/>
  <c r="Q28" i="8"/>
  <c r="R28" i="8"/>
  <c r="I29" i="8"/>
  <c r="J29" i="8"/>
  <c r="K29" i="8"/>
  <c r="L29" i="8"/>
  <c r="M29" i="8"/>
  <c r="N29" i="8"/>
  <c r="O29" i="8"/>
  <c r="P29" i="8"/>
  <c r="Q29" i="8"/>
  <c r="R29" i="8"/>
  <c r="I30" i="8"/>
  <c r="J30" i="8"/>
  <c r="K30" i="8"/>
  <c r="L30" i="8"/>
  <c r="M30" i="8"/>
  <c r="N30" i="8"/>
  <c r="O30" i="8"/>
  <c r="P30" i="8"/>
  <c r="Q30" i="8"/>
  <c r="R30" i="8"/>
  <c r="I31" i="8"/>
  <c r="J31" i="8"/>
  <c r="K31" i="8"/>
  <c r="L31" i="8"/>
  <c r="M31" i="8"/>
  <c r="N31" i="8"/>
  <c r="O31" i="8"/>
  <c r="P31" i="8"/>
  <c r="Q31" i="8"/>
  <c r="R31" i="8"/>
  <c r="I32" i="8"/>
  <c r="J32" i="8"/>
  <c r="K32" i="8"/>
  <c r="L32" i="8"/>
  <c r="M32" i="8"/>
  <c r="N32" i="8"/>
  <c r="O32" i="8"/>
  <c r="P32" i="8"/>
  <c r="Q32" i="8"/>
  <c r="R32" i="8"/>
  <c r="I33" i="8"/>
  <c r="J33" i="8"/>
  <c r="K33" i="8"/>
  <c r="L33" i="8"/>
  <c r="M33" i="8"/>
  <c r="N33" i="8"/>
  <c r="O33" i="8"/>
  <c r="P33" i="8"/>
  <c r="Q33" i="8"/>
  <c r="R33" i="8"/>
  <c r="I34" i="8"/>
  <c r="J34" i="8"/>
  <c r="K34" i="8"/>
  <c r="L34" i="8"/>
  <c r="M34" i="8"/>
  <c r="N34" i="8"/>
  <c r="O34" i="8"/>
  <c r="P34" i="8"/>
  <c r="Q34" i="8"/>
  <c r="R34" i="8"/>
  <c r="I35" i="8"/>
  <c r="J35" i="8"/>
  <c r="K35" i="8"/>
  <c r="L35" i="8"/>
  <c r="M35" i="8"/>
  <c r="N35" i="8"/>
  <c r="O35" i="8"/>
  <c r="P35" i="8"/>
  <c r="Q35" i="8"/>
  <c r="R35" i="8"/>
  <c r="I36" i="8"/>
  <c r="J36" i="8"/>
  <c r="K36" i="8"/>
  <c r="L36" i="8"/>
  <c r="M36" i="8"/>
  <c r="N36" i="8"/>
  <c r="O36" i="8"/>
  <c r="P36" i="8"/>
  <c r="Q36" i="8"/>
  <c r="R36" i="8"/>
  <c r="I37" i="8"/>
  <c r="J37" i="8"/>
  <c r="K37" i="8"/>
  <c r="L37" i="8"/>
  <c r="M37" i="8"/>
  <c r="N37" i="8"/>
  <c r="O37" i="8"/>
  <c r="P37" i="8"/>
  <c r="Q37" i="8"/>
  <c r="R37" i="8"/>
  <c r="I38" i="8"/>
  <c r="J38" i="8"/>
  <c r="K38" i="8"/>
  <c r="L38" i="8"/>
  <c r="M38" i="8"/>
  <c r="N38" i="8"/>
  <c r="O38" i="8"/>
  <c r="P38" i="8"/>
  <c r="Q38" i="8"/>
  <c r="R38" i="8"/>
  <c r="I39" i="8"/>
  <c r="J39" i="8"/>
  <c r="K39" i="8"/>
  <c r="L39" i="8"/>
  <c r="M39" i="8"/>
  <c r="N39" i="8"/>
  <c r="O39" i="8"/>
  <c r="P39" i="8"/>
  <c r="Q39" i="8"/>
  <c r="R39" i="8"/>
  <c r="I40" i="8"/>
  <c r="J40" i="8"/>
  <c r="K40" i="8"/>
  <c r="L40" i="8"/>
  <c r="M40" i="8"/>
  <c r="N40" i="8"/>
  <c r="O40" i="8"/>
  <c r="P40" i="8"/>
  <c r="Q40" i="8"/>
  <c r="R40" i="8"/>
  <c r="I41" i="8"/>
  <c r="J41" i="8"/>
  <c r="K41" i="8"/>
  <c r="L41" i="8"/>
  <c r="M41" i="8"/>
  <c r="N41" i="8"/>
  <c r="O41" i="8"/>
  <c r="P41" i="8"/>
  <c r="Q41" i="8"/>
  <c r="R41" i="8"/>
  <c r="I42" i="8"/>
  <c r="J42" i="8"/>
  <c r="K42" i="8"/>
  <c r="L42" i="8"/>
  <c r="M42" i="8"/>
  <c r="N42" i="8"/>
  <c r="O42" i="8"/>
  <c r="P42" i="8"/>
  <c r="Q42" i="8"/>
  <c r="R42" i="8"/>
  <c r="I43" i="8"/>
  <c r="J43" i="8"/>
  <c r="K43" i="8"/>
  <c r="L43" i="8"/>
  <c r="M43" i="8"/>
  <c r="N43" i="8"/>
  <c r="O43" i="8"/>
  <c r="P43" i="8"/>
  <c r="Q43" i="8"/>
  <c r="R43" i="8"/>
  <c r="I44" i="8"/>
  <c r="J44" i="8"/>
  <c r="K44" i="8"/>
  <c r="L44" i="8"/>
  <c r="M44" i="8"/>
  <c r="N44" i="8"/>
  <c r="O44" i="8"/>
  <c r="P44" i="8"/>
  <c r="Q44" i="8"/>
  <c r="R44" i="8"/>
  <c r="I45" i="8"/>
  <c r="J45" i="8"/>
  <c r="K45" i="8"/>
  <c r="L45" i="8"/>
  <c r="M45" i="8"/>
  <c r="N45" i="8"/>
  <c r="O45" i="8"/>
  <c r="P45" i="8"/>
  <c r="Q45" i="8"/>
  <c r="R45" i="8"/>
  <c r="I46" i="8"/>
  <c r="J46" i="8"/>
  <c r="K46" i="8"/>
  <c r="L46" i="8"/>
  <c r="M46" i="8"/>
  <c r="N46" i="8"/>
  <c r="O46" i="8"/>
  <c r="P46" i="8"/>
  <c r="Q46" i="8"/>
  <c r="R46" i="8"/>
  <c r="I47" i="8"/>
  <c r="J47" i="8"/>
  <c r="K47" i="8"/>
  <c r="L47" i="8"/>
  <c r="M47" i="8"/>
  <c r="N47" i="8"/>
  <c r="O47" i="8"/>
  <c r="P47" i="8"/>
  <c r="Q47" i="8"/>
  <c r="R47" i="8"/>
  <c r="I48" i="8"/>
  <c r="J48" i="8"/>
  <c r="K48" i="8"/>
  <c r="L48" i="8"/>
  <c r="M48" i="8"/>
  <c r="N48" i="8"/>
  <c r="O48" i="8"/>
  <c r="P48" i="8"/>
  <c r="Q48" i="8"/>
  <c r="R48" i="8"/>
  <c r="I49" i="8"/>
  <c r="J49" i="8"/>
  <c r="K49" i="8"/>
  <c r="L49" i="8"/>
  <c r="M49" i="8"/>
  <c r="N49" i="8"/>
  <c r="O49" i="8"/>
  <c r="P49" i="8"/>
  <c r="Q49" i="8"/>
  <c r="R49" i="8"/>
  <c r="I50" i="8"/>
  <c r="J50" i="8"/>
  <c r="K50" i="8"/>
  <c r="L50" i="8"/>
  <c r="M50" i="8"/>
  <c r="N50" i="8"/>
  <c r="O50" i="8"/>
  <c r="P50" i="8"/>
  <c r="Q50" i="8"/>
  <c r="R50" i="8"/>
  <c r="I51" i="8"/>
  <c r="J51" i="8"/>
  <c r="K51" i="8"/>
  <c r="L51" i="8"/>
  <c r="M51" i="8"/>
  <c r="N51" i="8"/>
  <c r="O51" i="8"/>
  <c r="P51" i="8"/>
  <c r="Q51" i="8"/>
  <c r="R51" i="8"/>
  <c r="I52" i="8"/>
  <c r="J52" i="8"/>
  <c r="K52" i="8"/>
  <c r="L52" i="8"/>
  <c r="M52" i="8"/>
  <c r="N52" i="8"/>
  <c r="O52" i="8"/>
  <c r="P52" i="8"/>
  <c r="Q52" i="8"/>
  <c r="R52" i="8"/>
  <c r="I53" i="8"/>
  <c r="J53" i="8"/>
  <c r="K53" i="8"/>
  <c r="L53" i="8"/>
  <c r="M53" i="8"/>
  <c r="N53" i="8"/>
  <c r="O53" i="8"/>
  <c r="P53" i="8"/>
  <c r="Q53" i="8"/>
  <c r="R53" i="8"/>
  <c r="I54" i="8"/>
  <c r="J54" i="8"/>
  <c r="K54" i="8"/>
  <c r="L54" i="8"/>
  <c r="M54" i="8"/>
  <c r="N54" i="8"/>
  <c r="O54" i="8"/>
  <c r="P54" i="8"/>
  <c r="Q54" i="8"/>
  <c r="R54" i="8"/>
  <c r="I55" i="8"/>
  <c r="J55" i="8"/>
  <c r="K55" i="8"/>
  <c r="L55" i="8"/>
  <c r="M55" i="8"/>
  <c r="N55" i="8"/>
  <c r="O55" i="8"/>
  <c r="P55" i="8"/>
  <c r="Q55" i="8"/>
  <c r="R55" i="8"/>
  <c r="I56" i="8"/>
  <c r="J56" i="8"/>
  <c r="K56" i="8"/>
  <c r="L56" i="8"/>
  <c r="M56" i="8"/>
  <c r="N56" i="8"/>
  <c r="O56" i="8"/>
  <c r="P56" i="8"/>
  <c r="Q56" i="8"/>
  <c r="R56" i="8"/>
  <c r="I57" i="8"/>
  <c r="J57" i="8"/>
  <c r="K57" i="8"/>
  <c r="L57" i="8"/>
  <c r="M57" i="8"/>
  <c r="N57" i="8"/>
  <c r="O57" i="8"/>
  <c r="P57" i="8"/>
  <c r="Q57" i="8"/>
  <c r="R57" i="8"/>
  <c r="I58" i="8"/>
  <c r="J58" i="8"/>
  <c r="K58" i="8"/>
  <c r="L58" i="8"/>
  <c r="M58" i="8"/>
  <c r="N58" i="8"/>
  <c r="O58" i="8"/>
  <c r="P58" i="8"/>
  <c r="Q58" i="8"/>
  <c r="R58" i="8"/>
  <c r="I59" i="8"/>
  <c r="J59" i="8"/>
  <c r="K59" i="8"/>
  <c r="L59" i="8"/>
  <c r="M59" i="8"/>
  <c r="N59" i="8"/>
  <c r="O59" i="8"/>
  <c r="P59" i="8"/>
  <c r="Q59" i="8"/>
  <c r="R59" i="8"/>
  <c r="I60" i="8"/>
  <c r="J60" i="8"/>
  <c r="K60" i="8"/>
  <c r="L60" i="8"/>
  <c r="M60" i="8"/>
  <c r="N60" i="8"/>
  <c r="O60" i="8"/>
  <c r="P60" i="8"/>
  <c r="Q60" i="8"/>
  <c r="R60" i="8"/>
  <c r="I61" i="8"/>
  <c r="J61" i="8"/>
  <c r="K61" i="8"/>
  <c r="L61" i="8"/>
  <c r="M61" i="8"/>
  <c r="N61" i="8"/>
  <c r="O61" i="8"/>
  <c r="P61" i="8"/>
  <c r="Q61" i="8"/>
  <c r="R61" i="8"/>
  <c r="I62" i="8"/>
  <c r="J62" i="8"/>
  <c r="K62" i="8"/>
  <c r="L62" i="8"/>
  <c r="M62" i="8"/>
  <c r="N62" i="8"/>
  <c r="O62" i="8"/>
  <c r="P62" i="8"/>
  <c r="Q62" i="8"/>
  <c r="R62" i="8"/>
  <c r="I63" i="8"/>
  <c r="J63" i="8"/>
  <c r="K63" i="8"/>
  <c r="L63" i="8"/>
  <c r="M63" i="8"/>
  <c r="N63" i="8"/>
  <c r="O63" i="8"/>
  <c r="P63" i="8"/>
  <c r="Q63" i="8"/>
  <c r="R63" i="8"/>
  <c r="I64" i="8"/>
  <c r="J64" i="8"/>
  <c r="K64" i="8"/>
  <c r="L64" i="8"/>
  <c r="M64" i="8"/>
  <c r="N64" i="8"/>
  <c r="O64" i="8"/>
  <c r="P64" i="8"/>
  <c r="Q64" i="8"/>
  <c r="R64" i="8"/>
  <c r="I65" i="8"/>
  <c r="J65" i="8"/>
  <c r="K65" i="8"/>
  <c r="L65" i="8"/>
  <c r="M65" i="8"/>
  <c r="N65" i="8"/>
  <c r="O65" i="8"/>
  <c r="P65" i="8"/>
  <c r="Q65" i="8"/>
  <c r="R65" i="8"/>
  <c r="I66" i="8"/>
  <c r="J66" i="8"/>
  <c r="K66" i="8"/>
  <c r="L66" i="8"/>
  <c r="M66" i="8"/>
  <c r="N66" i="8"/>
  <c r="O66" i="8"/>
  <c r="P66" i="8"/>
  <c r="Q66" i="8"/>
  <c r="R66" i="8"/>
  <c r="I67" i="8"/>
  <c r="J67" i="8"/>
  <c r="K67" i="8"/>
  <c r="L67" i="8"/>
  <c r="M67" i="8"/>
  <c r="N67" i="8"/>
  <c r="O67" i="8"/>
  <c r="P67" i="8"/>
  <c r="Q67" i="8"/>
  <c r="R67" i="8"/>
  <c r="I68" i="8"/>
  <c r="J68" i="8"/>
  <c r="K68" i="8"/>
  <c r="L68" i="8"/>
  <c r="M68" i="8"/>
  <c r="N68" i="8"/>
  <c r="O68" i="8"/>
  <c r="P68" i="8"/>
  <c r="Q68" i="8"/>
  <c r="R68" i="8"/>
  <c r="I69" i="8"/>
  <c r="J69" i="8"/>
  <c r="K69" i="8"/>
  <c r="L69" i="8"/>
  <c r="M69" i="8"/>
  <c r="N69" i="8"/>
  <c r="O69" i="8"/>
  <c r="P69" i="8"/>
  <c r="Q69" i="8"/>
  <c r="R69" i="8"/>
  <c r="I70" i="8"/>
  <c r="J70" i="8"/>
  <c r="K70" i="8"/>
  <c r="L70" i="8"/>
  <c r="M70" i="8"/>
  <c r="N70" i="8"/>
  <c r="O70" i="8"/>
  <c r="P70" i="8"/>
  <c r="Q70" i="8"/>
  <c r="R70" i="8"/>
  <c r="I71" i="8"/>
  <c r="J71" i="8"/>
  <c r="K71" i="8"/>
  <c r="L71" i="8"/>
  <c r="M71" i="8"/>
  <c r="N71" i="8"/>
  <c r="O71" i="8"/>
  <c r="P71" i="8"/>
  <c r="Q71" i="8"/>
  <c r="R71" i="8"/>
  <c r="I72" i="8"/>
  <c r="J72" i="8"/>
  <c r="K72" i="8"/>
  <c r="L72" i="8"/>
  <c r="M72" i="8"/>
  <c r="N72" i="8"/>
  <c r="O72" i="8"/>
  <c r="P72" i="8"/>
  <c r="Q72" i="8"/>
  <c r="R72" i="8"/>
  <c r="I73" i="8"/>
  <c r="J73" i="8"/>
  <c r="K73" i="8"/>
  <c r="L73" i="8"/>
  <c r="M73" i="8"/>
  <c r="N73" i="8"/>
  <c r="O73" i="8"/>
  <c r="P73" i="8"/>
  <c r="Q73" i="8"/>
  <c r="R73" i="8"/>
  <c r="I74" i="8"/>
  <c r="J74" i="8"/>
  <c r="K74" i="8"/>
  <c r="L74" i="8"/>
  <c r="M74" i="8"/>
  <c r="N74" i="8"/>
  <c r="O74" i="8"/>
  <c r="P74" i="8"/>
  <c r="Q74" i="8"/>
  <c r="R74" i="8"/>
  <c r="I75" i="8"/>
  <c r="J75" i="8"/>
  <c r="K75" i="8"/>
  <c r="L75" i="8"/>
  <c r="M75" i="8"/>
  <c r="N75" i="8"/>
  <c r="O75" i="8"/>
  <c r="P75" i="8"/>
  <c r="Q75" i="8"/>
  <c r="R75" i="8"/>
  <c r="I76" i="8"/>
  <c r="J76" i="8"/>
  <c r="K76" i="8"/>
  <c r="L76" i="8"/>
  <c r="M76" i="8"/>
  <c r="N76" i="8"/>
  <c r="O76" i="8"/>
  <c r="P76" i="8"/>
  <c r="Q76" i="8"/>
  <c r="R76" i="8"/>
  <c r="I77" i="8"/>
  <c r="J77" i="8"/>
  <c r="K77" i="8"/>
  <c r="L77" i="8"/>
  <c r="M77" i="8"/>
  <c r="N77" i="8"/>
  <c r="O77" i="8"/>
  <c r="P77" i="8"/>
  <c r="Q77" i="8"/>
  <c r="R77" i="8"/>
  <c r="I78" i="8"/>
  <c r="J78" i="8"/>
  <c r="K78" i="8"/>
  <c r="L78" i="8"/>
  <c r="M78" i="8"/>
  <c r="N78" i="8"/>
  <c r="O78" i="8"/>
  <c r="P78" i="8"/>
  <c r="Q78" i="8"/>
  <c r="R78" i="8"/>
  <c r="I79" i="8"/>
  <c r="J79" i="8"/>
  <c r="K79" i="8"/>
  <c r="L79" i="8"/>
  <c r="M79" i="8"/>
  <c r="N79" i="8"/>
  <c r="O79" i="8"/>
  <c r="P79" i="8"/>
  <c r="Q79" i="8"/>
  <c r="R79" i="8"/>
  <c r="I80" i="8"/>
  <c r="J80" i="8"/>
  <c r="K80" i="8"/>
  <c r="L80" i="8"/>
  <c r="M80" i="8"/>
  <c r="N80" i="8"/>
  <c r="O80" i="8"/>
  <c r="P80" i="8"/>
  <c r="Q80" i="8"/>
  <c r="R80" i="8"/>
  <c r="I81" i="8"/>
  <c r="J81" i="8"/>
  <c r="K81" i="8"/>
  <c r="L81" i="8"/>
  <c r="M81" i="8"/>
  <c r="N81" i="8"/>
  <c r="O81" i="8"/>
  <c r="P81" i="8"/>
  <c r="Q81" i="8"/>
  <c r="R81" i="8"/>
  <c r="I82" i="8"/>
  <c r="J82" i="8"/>
  <c r="K82" i="8"/>
  <c r="L82" i="8"/>
  <c r="M82" i="8"/>
  <c r="N82" i="8"/>
  <c r="O82" i="8"/>
  <c r="P82" i="8"/>
  <c r="Q82" i="8"/>
  <c r="R82" i="8"/>
  <c r="I83" i="8"/>
  <c r="J83" i="8"/>
  <c r="K83" i="8"/>
  <c r="L83" i="8"/>
  <c r="M83" i="8"/>
  <c r="N83" i="8"/>
  <c r="O83" i="8"/>
  <c r="P83" i="8"/>
  <c r="Q83" i="8"/>
  <c r="R83" i="8"/>
  <c r="I84" i="8"/>
  <c r="J84" i="8"/>
  <c r="K84" i="8"/>
  <c r="L84" i="8"/>
  <c r="M84" i="8"/>
  <c r="N84" i="8"/>
  <c r="O84" i="8"/>
  <c r="P84" i="8"/>
  <c r="Q84" i="8"/>
  <c r="R84" i="8"/>
  <c r="I85" i="8"/>
  <c r="J85" i="8"/>
  <c r="K85" i="8"/>
  <c r="L85" i="8"/>
  <c r="M85" i="8"/>
  <c r="N85" i="8"/>
  <c r="O85" i="8"/>
  <c r="P85" i="8"/>
  <c r="Q85" i="8"/>
  <c r="R85" i="8"/>
  <c r="I86" i="8"/>
  <c r="J86" i="8"/>
  <c r="K86" i="8"/>
  <c r="L86" i="8"/>
  <c r="M86" i="8"/>
  <c r="N86" i="8"/>
  <c r="O86" i="8"/>
  <c r="P86" i="8"/>
  <c r="Q86" i="8"/>
  <c r="R86" i="8"/>
  <c r="I87" i="8"/>
  <c r="J87" i="8"/>
  <c r="K87" i="8"/>
  <c r="L87" i="8"/>
  <c r="M87" i="8"/>
  <c r="N87" i="8"/>
  <c r="O87" i="8"/>
  <c r="P87" i="8"/>
  <c r="Q87" i="8"/>
  <c r="R87" i="8"/>
  <c r="I88" i="8"/>
  <c r="J88" i="8"/>
  <c r="K88" i="8"/>
  <c r="L88" i="8"/>
  <c r="M88" i="8"/>
  <c r="N88" i="8"/>
  <c r="O88" i="8"/>
  <c r="P88" i="8"/>
  <c r="Q88" i="8"/>
  <c r="R88" i="8"/>
  <c r="I89" i="8"/>
  <c r="J89" i="8"/>
  <c r="K89" i="8"/>
  <c r="L89" i="8"/>
  <c r="O89" i="8"/>
  <c r="P89" i="8"/>
  <c r="Q89" i="8"/>
  <c r="R89" i="8"/>
  <c r="I90" i="8"/>
  <c r="J90" i="8"/>
  <c r="K90" i="8"/>
  <c r="L90" i="8"/>
  <c r="O90" i="8"/>
  <c r="P90" i="8"/>
  <c r="Q90" i="8"/>
  <c r="R90" i="8"/>
  <c r="I91" i="8"/>
  <c r="J91" i="8"/>
  <c r="K91" i="8"/>
  <c r="L91" i="8"/>
  <c r="O91" i="8"/>
  <c r="P91" i="8"/>
  <c r="Q91" i="8"/>
  <c r="R91" i="8"/>
  <c r="I92" i="8"/>
  <c r="J92" i="8"/>
  <c r="K92" i="8"/>
  <c r="L92" i="8"/>
  <c r="O92" i="8"/>
  <c r="P92" i="8"/>
  <c r="Q92" i="8"/>
  <c r="R92" i="8"/>
  <c r="I93" i="8"/>
  <c r="J93" i="8"/>
  <c r="K93" i="8"/>
  <c r="L93" i="8"/>
  <c r="O93" i="8"/>
  <c r="P93" i="8"/>
  <c r="Q93" i="8"/>
  <c r="R93" i="8"/>
  <c r="I94" i="8"/>
  <c r="J94" i="8"/>
  <c r="K94" i="8"/>
  <c r="L94" i="8"/>
  <c r="O94" i="8"/>
  <c r="P94" i="8"/>
  <c r="Q94" i="8"/>
  <c r="R94" i="8"/>
  <c r="I95" i="8"/>
  <c r="J95" i="8"/>
  <c r="K95" i="8"/>
  <c r="L95" i="8"/>
  <c r="O95" i="8"/>
  <c r="P95" i="8"/>
  <c r="Q95" i="8"/>
  <c r="R95" i="8"/>
  <c r="I96" i="8"/>
  <c r="J96" i="8"/>
  <c r="K96" i="8"/>
  <c r="L96" i="8"/>
  <c r="O96" i="8"/>
  <c r="P96" i="8"/>
  <c r="Q96" i="8"/>
  <c r="R96" i="8"/>
  <c r="I97" i="8"/>
  <c r="J97" i="8"/>
  <c r="K97" i="8"/>
  <c r="L97" i="8"/>
  <c r="O97" i="8"/>
  <c r="P97" i="8"/>
  <c r="Q97" i="8"/>
  <c r="R97" i="8"/>
  <c r="I98" i="8"/>
  <c r="J98" i="8"/>
  <c r="K98" i="8"/>
  <c r="L98" i="8"/>
  <c r="O98" i="8"/>
  <c r="P98" i="8"/>
  <c r="Q98" i="8"/>
  <c r="R98" i="8"/>
  <c r="I99" i="8"/>
  <c r="J99" i="8"/>
  <c r="K99" i="8"/>
  <c r="L99" i="8"/>
  <c r="O99" i="8"/>
  <c r="P99" i="8"/>
  <c r="Q99" i="8"/>
  <c r="R99" i="8"/>
  <c r="I100" i="8"/>
  <c r="J100" i="8"/>
  <c r="K100" i="8"/>
  <c r="L100" i="8"/>
  <c r="O100" i="8"/>
  <c r="P100" i="8"/>
  <c r="Q100" i="8"/>
  <c r="R100" i="8"/>
  <c r="I101" i="8"/>
  <c r="J101" i="8"/>
  <c r="K101" i="8"/>
  <c r="L101" i="8"/>
  <c r="O101" i="8"/>
  <c r="P101" i="8"/>
  <c r="Q101" i="8"/>
  <c r="R101" i="8"/>
  <c r="I102" i="8"/>
  <c r="J102" i="8"/>
  <c r="K102" i="8"/>
  <c r="L102" i="8"/>
  <c r="O102" i="8"/>
  <c r="P102" i="8"/>
  <c r="Q102" i="8"/>
  <c r="R102" i="8"/>
  <c r="I103" i="8"/>
  <c r="J103" i="8"/>
  <c r="K103" i="8"/>
  <c r="L103" i="8"/>
  <c r="O103" i="8"/>
  <c r="P103" i="8"/>
  <c r="Q103" i="8"/>
  <c r="R103" i="8"/>
  <c r="I104" i="8"/>
  <c r="J104" i="8"/>
  <c r="K104" i="8"/>
  <c r="L104" i="8"/>
  <c r="O104" i="8"/>
  <c r="P104" i="8"/>
  <c r="Q104" i="8"/>
  <c r="R104" i="8"/>
  <c r="I105" i="8"/>
  <c r="J105" i="8"/>
  <c r="K105" i="8"/>
  <c r="L105" i="8"/>
  <c r="O105" i="8"/>
  <c r="P105" i="8"/>
  <c r="Q105" i="8"/>
  <c r="R105" i="8"/>
  <c r="I106" i="8"/>
  <c r="J106" i="8"/>
  <c r="K106" i="8"/>
  <c r="L106" i="8"/>
  <c r="O106" i="8"/>
  <c r="P106" i="8"/>
  <c r="Q106" i="8"/>
  <c r="R106" i="8"/>
  <c r="I107" i="8"/>
  <c r="J107" i="8"/>
  <c r="K107" i="8"/>
  <c r="L107" i="8"/>
  <c r="O107" i="8"/>
  <c r="P107" i="8"/>
  <c r="Q107" i="8"/>
  <c r="R107" i="8"/>
  <c r="I108" i="8"/>
  <c r="J108" i="8"/>
  <c r="K108" i="8"/>
  <c r="L108" i="8"/>
  <c r="O108" i="8"/>
  <c r="P108" i="8"/>
  <c r="Q108" i="8"/>
  <c r="R108" i="8"/>
  <c r="I109" i="8"/>
  <c r="J109" i="8"/>
  <c r="K109" i="8"/>
  <c r="L109" i="8"/>
  <c r="O109" i="8"/>
  <c r="P109" i="8"/>
  <c r="Q109" i="8"/>
  <c r="R109" i="8"/>
  <c r="I110" i="8"/>
  <c r="J110" i="8"/>
  <c r="K110" i="8"/>
  <c r="L110" i="8"/>
  <c r="O110" i="8"/>
  <c r="P110" i="8"/>
  <c r="Q110" i="8"/>
  <c r="R110" i="8"/>
  <c r="I111" i="8"/>
  <c r="J111" i="8"/>
  <c r="K111" i="8"/>
  <c r="L111" i="8"/>
  <c r="O111" i="8"/>
  <c r="P111" i="8"/>
  <c r="Q111" i="8"/>
  <c r="R111" i="8"/>
  <c r="I112" i="8"/>
  <c r="J112" i="8"/>
  <c r="K112" i="8"/>
  <c r="L112" i="8"/>
  <c r="O112" i="8"/>
  <c r="P112" i="8"/>
  <c r="Q112" i="8"/>
  <c r="R112" i="8"/>
  <c r="I113" i="8"/>
  <c r="J113" i="8"/>
  <c r="K113" i="8"/>
  <c r="L113" i="8"/>
  <c r="M113" i="8"/>
  <c r="N113" i="8"/>
  <c r="O113" i="8"/>
  <c r="P113" i="8"/>
  <c r="Q113" i="8"/>
  <c r="R113" i="8"/>
  <c r="I114" i="8"/>
  <c r="J114" i="8"/>
  <c r="K114" i="8"/>
  <c r="L114" i="8"/>
  <c r="M114" i="8"/>
  <c r="N114" i="8"/>
  <c r="O114" i="8"/>
  <c r="P114" i="8"/>
  <c r="Q114" i="8"/>
  <c r="R114" i="8"/>
  <c r="I115" i="8"/>
  <c r="J115" i="8"/>
  <c r="K115" i="8"/>
  <c r="L115" i="8"/>
  <c r="M115" i="8"/>
  <c r="N115" i="8"/>
  <c r="O115" i="8"/>
  <c r="P115" i="8"/>
  <c r="Q115" i="8"/>
  <c r="R115" i="8"/>
  <c r="I116" i="8"/>
  <c r="J116" i="8"/>
  <c r="K116" i="8"/>
  <c r="L116" i="8"/>
  <c r="M116" i="8"/>
  <c r="N116" i="8"/>
  <c r="O116" i="8"/>
  <c r="P116" i="8"/>
  <c r="Q116" i="8"/>
  <c r="R116" i="8"/>
  <c r="I117" i="8"/>
  <c r="J117" i="8"/>
  <c r="K117" i="8"/>
  <c r="L117" i="8"/>
  <c r="M117" i="8"/>
  <c r="N117" i="8"/>
  <c r="O117" i="8"/>
  <c r="P117" i="8"/>
  <c r="Q117" i="8"/>
  <c r="R117" i="8"/>
  <c r="I118" i="8"/>
  <c r="J118" i="8"/>
  <c r="K118" i="8"/>
  <c r="L118" i="8"/>
  <c r="M118" i="8"/>
  <c r="N118" i="8"/>
  <c r="O118" i="8"/>
  <c r="P118" i="8"/>
  <c r="Q118" i="8"/>
  <c r="R118" i="8"/>
  <c r="I119" i="8"/>
  <c r="J119" i="8"/>
  <c r="K119" i="8"/>
  <c r="L119" i="8"/>
  <c r="M119" i="8"/>
  <c r="N119" i="8"/>
  <c r="O119" i="8"/>
  <c r="P119" i="8"/>
  <c r="Q119" i="8"/>
  <c r="R119" i="8"/>
  <c r="I120" i="8"/>
  <c r="J120" i="8"/>
  <c r="K120" i="8"/>
  <c r="L120" i="8"/>
  <c r="M120" i="8"/>
  <c r="N120" i="8"/>
  <c r="O120" i="8"/>
  <c r="P120" i="8"/>
  <c r="Q120" i="8"/>
  <c r="R120" i="8"/>
  <c r="I121" i="8"/>
  <c r="J121" i="8"/>
  <c r="K121" i="8"/>
  <c r="L121" i="8"/>
  <c r="M121" i="8"/>
  <c r="N121" i="8"/>
  <c r="O121" i="8"/>
  <c r="P121" i="8"/>
  <c r="Q121" i="8"/>
  <c r="R121" i="8"/>
  <c r="I122" i="8"/>
  <c r="J122" i="8"/>
  <c r="K122" i="8"/>
  <c r="L122" i="8"/>
  <c r="M122" i="8"/>
  <c r="N122" i="8"/>
  <c r="O122" i="8"/>
  <c r="P122" i="8"/>
  <c r="Q122" i="8"/>
  <c r="R122" i="8"/>
  <c r="I123" i="8"/>
  <c r="J123" i="8"/>
  <c r="K123" i="8"/>
  <c r="L123" i="8"/>
  <c r="M123" i="8"/>
  <c r="N123" i="8"/>
  <c r="O123" i="8"/>
  <c r="P123" i="8"/>
  <c r="Q123" i="8"/>
  <c r="R123" i="8"/>
  <c r="I124" i="8"/>
  <c r="J124" i="8"/>
  <c r="K124" i="8"/>
  <c r="L124" i="8"/>
  <c r="M124" i="8"/>
  <c r="N124" i="8"/>
  <c r="O124" i="8"/>
  <c r="P124" i="8"/>
  <c r="Q124" i="8"/>
  <c r="R124" i="8"/>
  <c r="I125" i="8"/>
  <c r="J125" i="8"/>
  <c r="K125" i="8"/>
  <c r="L125" i="8"/>
  <c r="M125" i="8"/>
  <c r="N125" i="8"/>
  <c r="O125" i="8"/>
  <c r="P125" i="8"/>
  <c r="Q125" i="8"/>
  <c r="R125" i="8"/>
  <c r="I126" i="8"/>
  <c r="J126" i="8"/>
  <c r="K126" i="8"/>
  <c r="L126" i="8"/>
  <c r="M126" i="8"/>
  <c r="N126" i="8"/>
  <c r="O126" i="8"/>
  <c r="P126" i="8"/>
  <c r="Q126" i="8"/>
  <c r="R126" i="8"/>
  <c r="I127" i="8"/>
  <c r="J127" i="8"/>
  <c r="K127" i="8"/>
  <c r="L127" i="8"/>
  <c r="M127" i="8"/>
  <c r="N127" i="8"/>
  <c r="O127" i="8"/>
  <c r="P127" i="8"/>
  <c r="Q127" i="8"/>
  <c r="R127" i="8"/>
  <c r="I128" i="8"/>
  <c r="J128" i="8"/>
  <c r="K128" i="8"/>
  <c r="L128" i="8"/>
  <c r="M128" i="8"/>
  <c r="N128" i="8"/>
  <c r="O128" i="8"/>
  <c r="P128" i="8"/>
  <c r="Q128" i="8"/>
  <c r="R128" i="8"/>
  <c r="I129" i="8"/>
  <c r="J129" i="8"/>
  <c r="K129" i="8"/>
  <c r="L129" i="8"/>
  <c r="M129" i="8"/>
  <c r="N129" i="8"/>
  <c r="O129" i="8"/>
  <c r="P129" i="8"/>
  <c r="Q129" i="8"/>
  <c r="R129" i="8"/>
  <c r="I130" i="8"/>
  <c r="J130" i="8"/>
  <c r="K130" i="8"/>
  <c r="L130" i="8"/>
  <c r="M130" i="8"/>
  <c r="N130" i="8"/>
  <c r="O130" i="8"/>
  <c r="P130" i="8"/>
  <c r="Q130" i="8"/>
  <c r="R130" i="8"/>
  <c r="I131" i="8"/>
  <c r="J131" i="8"/>
  <c r="K131" i="8"/>
  <c r="L131" i="8"/>
  <c r="M131" i="8"/>
  <c r="N131" i="8"/>
  <c r="O131" i="8"/>
  <c r="P131" i="8"/>
  <c r="Q131" i="8"/>
  <c r="R131" i="8"/>
  <c r="I132" i="8"/>
  <c r="J132" i="8"/>
  <c r="K132" i="8"/>
  <c r="L132" i="8"/>
  <c r="M132" i="8"/>
  <c r="N132" i="8"/>
  <c r="O132" i="8"/>
  <c r="P132" i="8"/>
  <c r="Q132" i="8"/>
  <c r="R132" i="8"/>
  <c r="I133" i="8"/>
  <c r="J133" i="8"/>
  <c r="K133" i="8"/>
  <c r="L133" i="8"/>
  <c r="M133" i="8"/>
  <c r="N133" i="8"/>
  <c r="O133" i="8"/>
  <c r="P133" i="8"/>
  <c r="Q133" i="8"/>
  <c r="R133" i="8"/>
  <c r="I134" i="8"/>
  <c r="J134" i="8"/>
  <c r="K134" i="8"/>
  <c r="L134" i="8"/>
  <c r="M134" i="8"/>
  <c r="N134" i="8"/>
  <c r="O134" i="8"/>
  <c r="P134" i="8"/>
  <c r="Q134" i="8"/>
  <c r="R134" i="8"/>
  <c r="I135" i="8"/>
  <c r="J135" i="8"/>
  <c r="K135" i="8"/>
  <c r="L135" i="8"/>
  <c r="M135" i="8"/>
  <c r="N135" i="8"/>
  <c r="O135" i="8"/>
  <c r="P135" i="8"/>
  <c r="Q135" i="8"/>
  <c r="R135" i="8"/>
  <c r="I136" i="8"/>
  <c r="J136" i="8"/>
  <c r="K136" i="8"/>
  <c r="L136" i="8"/>
  <c r="M136" i="8"/>
  <c r="N136" i="8"/>
  <c r="O136" i="8"/>
  <c r="P136" i="8"/>
  <c r="Q136" i="8"/>
  <c r="R136" i="8"/>
  <c r="I137" i="8"/>
  <c r="J137" i="8"/>
  <c r="K137" i="8"/>
  <c r="L137" i="8"/>
  <c r="M137" i="8"/>
  <c r="N137" i="8"/>
  <c r="O137" i="8"/>
  <c r="P137" i="8"/>
  <c r="Q137" i="8"/>
  <c r="R137" i="8"/>
  <c r="I138" i="8"/>
  <c r="J138" i="8"/>
  <c r="K138" i="8"/>
  <c r="L138" i="8"/>
  <c r="M138" i="8"/>
  <c r="N138" i="8"/>
  <c r="O138" i="8"/>
  <c r="P138" i="8"/>
  <c r="Q138" i="8"/>
  <c r="R138" i="8"/>
  <c r="I139" i="8"/>
  <c r="J139" i="8"/>
  <c r="K139" i="8"/>
  <c r="L139" i="8"/>
  <c r="M139" i="8"/>
  <c r="N139" i="8"/>
  <c r="O139" i="8"/>
  <c r="P139" i="8"/>
  <c r="Q139" i="8"/>
  <c r="R139" i="8"/>
  <c r="I140" i="8"/>
  <c r="J140" i="8"/>
  <c r="K140" i="8"/>
  <c r="L140" i="8"/>
  <c r="M140" i="8"/>
  <c r="N140" i="8"/>
  <c r="O140" i="8"/>
  <c r="P140" i="8"/>
  <c r="Q140" i="8"/>
  <c r="R140" i="8"/>
  <c r="I141" i="8"/>
  <c r="J141" i="8"/>
  <c r="K141" i="8"/>
  <c r="L141" i="8"/>
  <c r="M141" i="8"/>
  <c r="N141" i="8"/>
  <c r="O141" i="8"/>
  <c r="P141" i="8"/>
  <c r="Q141" i="8"/>
  <c r="R141" i="8"/>
  <c r="I142" i="8"/>
  <c r="J142" i="8"/>
  <c r="K142" i="8"/>
  <c r="L142" i="8"/>
  <c r="M142" i="8"/>
  <c r="N142" i="8"/>
  <c r="O142" i="8"/>
  <c r="P142" i="8"/>
  <c r="Q142" i="8"/>
  <c r="R142" i="8"/>
  <c r="I143" i="8"/>
  <c r="J143" i="8"/>
  <c r="K143" i="8"/>
  <c r="L143" i="8"/>
  <c r="M143" i="8"/>
  <c r="N143" i="8"/>
  <c r="O143" i="8"/>
  <c r="P143" i="8"/>
  <c r="Q143" i="8"/>
  <c r="R143" i="8"/>
  <c r="I144" i="8"/>
  <c r="J144" i="8"/>
  <c r="K144" i="8"/>
  <c r="L144" i="8"/>
  <c r="M144" i="8"/>
  <c r="N144" i="8"/>
  <c r="O144" i="8"/>
  <c r="P144" i="8"/>
  <c r="Q144" i="8"/>
  <c r="R144" i="8"/>
  <c r="I145" i="8"/>
  <c r="J145" i="8"/>
  <c r="K145" i="8"/>
  <c r="L145" i="8"/>
  <c r="M145" i="8"/>
  <c r="N145" i="8"/>
  <c r="O145" i="8"/>
  <c r="P145" i="8"/>
  <c r="Q145" i="8"/>
  <c r="R145" i="8"/>
  <c r="I146" i="8"/>
  <c r="J146" i="8"/>
  <c r="K146" i="8"/>
  <c r="L146" i="8"/>
  <c r="M146" i="8"/>
  <c r="N146" i="8"/>
  <c r="O146" i="8"/>
  <c r="P146" i="8"/>
  <c r="Q146" i="8"/>
  <c r="R146" i="8"/>
  <c r="I147" i="8"/>
  <c r="J147" i="8"/>
  <c r="K147" i="8"/>
  <c r="L147" i="8"/>
  <c r="M147" i="8"/>
  <c r="N147" i="8"/>
  <c r="O147" i="8"/>
  <c r="P147" i="8"/>
  <c r="Q147" i="8"/>
  <c r="R147" i="8"/>
  <c r="I148" i="8"/>
  <c r="J148" i="8"/>
  <c r="K148" i="8"/>
  <c r="L148" i="8"/>
  <c r="M148" i="8"/>
  <c r="N148" i="8"/>
  <c r="O148" i="8"/>
  <c r="P148" i="8"/>
  <c r="Q148" i="8"/>
  <c r="R148" i="8"/>
  <c r="I149" i="8"/>
  <c r="J149" i="8"/>
  <c r="K149" i="8"/>
  <c r="L149" i="8"/>
  <c r="M149" i="8"/>
  <c r="N149" i="8"/>
  <c r="O149" i="8"/>
  <c r="P149" i="8"/>
  <c r="Q149" i="8"/>
  <c r="R149" i="8"/>
  <c r="I150" i="8"/>
  <c r="J150" i="8"/>
  <c r="K150" i="8"/>
  <c r="L150" i="8"/>
  <c r="M150" i="8"/>
  <c r="N150" i="8"/>
  <c r="O150" i="8"/>
  <c r="P150" i="8"/>
  <c r="Q150" i="8"/>
  <c r="R150" i="8"/>
  <c r="I151" i="8"/>
  <c r="J151" i="8"/>
  <c r="K151" i="8"/>
  <c r="L151" i="8"/>
  <c r="M151" i="8"/>
  <c r="N151" i="8"/>
  <c r="O151" i="8"/>
  <c r="P151" i="8"/>
  <c r="Q151" i="8"/>
  <c r="R151" i="8"/>
  <c r="I152" i="8"/>
  <c r="J152" i="8"/>
  <c r="K152" i="8"/>
  <c r="L152" i="8"/>
  <c r="M152" i="8"/>
  <c r="N152" i="8"/>
  <c r="O152" i="8"/>
  <c r="P152" i="8"/>
  <c r="Q152" i="8"/>
  <c r="R152" i="8"/>
  <c r="I153" i="8"/>
  <c r="J153" i="8"/>
  <c r="K153" i="8"/>
  <c r="L153" i="8"/>
  <c r="M153" i="8"/>
  <c r="N153" i="8"/>
  <c r="O153" i="8"/>
  <c r="P153" i="8"/>
  <c r="Q153" i="8"/>
  <c r="R153" i="8"/>
  <c r="I154" i="8"/>
  <c r="J154" i="8"/>
  <c r="K154" i="8"/>
  <c r="L154" i="8"/>
  <c r="M154" i="8"/>
  <c r="N154" i="8"/>
  <c r="O154" i="8"/>
  <c r="P154" i="8"/>
  <c r="Q154" i="8"/>
  <c r="R154" i="8"/>
  <c r="I155" i="8"/>
  <c r="J155" i="8"/>
  <c r="K155" i="8"/>
  <c r="L155" i="8"/>
  <c r="M155" i="8"/>
  <c r="N155" i="8"/>
  <c r="O155" i="8"/>
  <c r="P155" i="8"/>
  <c r="Q155" i="8"/>
  <c r="R155" i="8"/>
  <c r="I156" i="8"/>
  <c r="J156" i="8"/>
  <c r="K156" i="8"/>
  <c r="L156" i="8"/>
  <c r="M156" i="8"/>
  <c r="N156" i="8"/>
  <c r="O156" i="8"/>
  <c r="P156" i="8"/>
  <c r="Q156" i="8"/>
  <c r="R156" i="8"/>
  <c r="I157" i="8"/>
  <c r="J157" i="8"/>
  <c r="K157" i="8"/>
  <c r="L157" i="8"/>
  <c r="M157" i="8"/>
  <c r="N157" i="8"/>
  <c r="O157" i="8"/>
  <c r="P157" i="8"/>
  <c r="Q157" i="8"/>
  <c r="R157" i="8"/>
  <c r="I158" i="8"/>
  <c r="J158" i="8"/>
  <c r="K158" i="8"/>
  <c r="L158" i="8"/>
  <c r="M158" i="8"/>
  <c r="N158" i="8"/>
  <c r="O158" i="8"/>
  <c r="P158" i="8"/>
  <c r="Q158" i="8"/>
  <c r="R158" i="8"/>
  <c r="I159" i="8"/>
  <c r="J159" i="8"/>
  <c r="K159" i="8"/>
  <c r="L159" i="8"/>
  <c r="M159" i="8"/>
  <c r="N159" i="8"/>
  <c r="O159" i="8"/>
  <c r="P159" i="8"/>
  <c r="Q159" i="8"/>
  <c r="R159" i="8"/>
  <c r="I160" i="8"/>
  <c r="J160" i="8"/>
  <c r="K160" i="8"/>
  <c r="L160" i="8"/>
  <c r="M160" i="8"/>
  <c r="N160" i="8"/>
  <c r="O160" i="8"/>
  <c r="P160" i="8"/>
  <c r="Q160" i="8"/>
  <c r="R160" i="8"/>
  <c r="I161" i="8"/>
  <c r="J161" i="8"/>
  <c r="K161" i="8"/>
  <c r="L161" i="8"/>
  <c r="O161" i="8"/>
  <c r="P161" i="8"/>
  <c r="Q161" i="8"/>
  <c r="R161" i="8"/>
  <c r="I162" i="8"/>
  <c r="J162" i="8"/>
  <c r="K162" i="8"/>
  <c r="L162" i="8"/>
  <c r="O162" i="8"/>
  <c r="P162" i="8"/>
  <c r="Q162" i="8"/>
  <c r="R162" i="8"/>
  <c r="I163" i="8"/>
  <c r="J163" i="8"/>
  <c r="K163" i="8"/>
  <c r="L163" i="8"/>
  <c r="O163" i="8"/>
  <c r="P163" i="8"/>
  <c r="Q163" i="8"/>
  <c r="R163" i="8"/>
  <c r="I164" i="8"/>
  <c r="J164" i="8"/>
  <c r="K164" i="8"/>
  <c r="L164" i="8"/>
  <c r="O164" i="8"/>
  <c r="P164" i="8"/>
  <c r="Q164" i="8"/>
  <c r="R164" i="8"/>
  <c r="I165" i="8"/>
  <c r="J165" i="8"/>
  <c r="K165" i="8"/>
  <c r="L165" i="8"/>
  <c r="O165" i="8"/>
  <c r="P165" i="8"/>
  <c r="Q165" i="8"/>
  <c r="R165" i="8"/>
  <c r="I166" i="8"/>
  <c r="J166" i="8"/>
  <c r="K166" i="8"/>
  <c r="L166" i="8"/>
  <c r="O166" i="8"/>
  <c r="P166" i="8"/>
  <c r="Q166" i="8"/>
  <c r="R166" i="8"/>
  <c r="I167" i="8"/>
  <c r="J167" i="8"/>
  <c r="K167" i="8"/>
  <c r="L167" i="8"/>
  <c r="O167" i="8"/>
  <c r="P167" i="8"/>
  <c r="Q167" i="8"/>
  <c r="R167" i="8"/>
  <c r="I168" i="8"/>
  <c r="J168" i="8"/>
  <c r="K168" i="8"/>
  <c r="L168" i="8"/>
  <c r="O168" i="8"/>
  <c r="P168" i="8"/>
  <c r="Q168" i="8"/>
  <c r="R168" i="8"/>
  <c r="I169" i="8"/>
  <c r="J169" i="8"/>
  <c r="K169" i="8"/>
  <c r="L169" i="8"/>
  <c r="O169" i="8"/>
  <c r="P169" i="8"/>
  <c r="Q169" i="8"/>
  <c r="R169" i="8"/>
  <c r="I170" i="8"/>
  <c r="J170" i="8"/>
  <c r="K170" i="8"/>
  <c r="L170" i="8"/>
  <c r="O170" i="8"/>
  <c r="P170" i="8"/>
  <c r="Q170" i="8"/>
  <c r="R170" i="8"/>
  <c r="I171" i="8"/>
  <c r="J171" i="8"/>
  <c r="K171" i="8"/>
  <c r="L171" i="8"/>
  <c r="O171" i="8"/>
  <c r="P171" i="8"/>
  <c r="Q171" i="8"/>
  <c r="R171" i="8"/>
  <c r="I172" i="8"/>
  <c r="J172" i="8"/>
  <c r="K172" i="8"/>
  <c r="L172" i="8"/>
  <c r="O172" i="8"/>
  <c r="P172" i="8"/>
  <c r="Q172" i="8"/>
  <c r="R172" i="8"/>
  <c r="I173" i="8"/>
  <c r="J173" i="8"/>
  <c r="K173" i="8"/>
  <c r="L173" i="8"/>
  <c r="O173" i="8"/>
  <c r="P173" i="8"/>
  <c r="Q173" i="8"/>
  <c r="R173" i="8"/>
  <c r="I174" i="8"/>
  <c r="J174" i="8"/>
  <c r="K174" i="8"/>
  <c r="L174" i="8"/>
  <c r="O174" i="8"/>
  <c r="P174" i="8"/>
  <c r="Q174" i="8"/>
  <c r="R174" i="8"/>
  <c r="I175" i="8"/>
  <c r="J175" i="8"/>
  <c r="K175" i="8"/>
  <c r="L175" i="8"/>
  <c r="O175" i="8"/>
  <c r="P175" i="8"/>
  <c r="Q175" i="8"/>
  <c r="R175" i="8"/>
  <c r="I176" i="8"/>
  <c r="J176" i="8"/>
  <c r="K176" i="8"/>
  <c r="L176" i="8"/>
  <c r="O176" i="8"/>
  <c r="P176" i="8"/>
  <c r="Q176" i="8"/>
  <c r="R176" i="8"/>
  <c r="I177" i="8"/>
  <c r="J177" i="8"/>
  <c r="K177" i="8"/>
  <c r="L177" i="8"/>
  <c r="O177" i="8"/>
  <c r="P177" i="8"/>
  <c r="Q177" i="8"/>
  <c r="R177" i="8"/>
  <c r="I178" i="8"/>
  <c r="J178" i="8"/>
  <c r="K178" i="8"/>
  <c r="L178" i="8"/>
  <c r="O178" i="8"/>
  <c r="P178" i="8"/>
  <c r="Q178" i="8"/>
  <c r="R178" i="8"/>
  <c r="I179" i="8"/>
  <c r="J179" i="8"/>
  <c r="K179" i="8"/>
  <c r="L179" i="8"/>
  <c r="O179" i="8"/>
  <c r="P179" i="8"/>
  <c r="Q179" i="8"/>
  <c r="R179" i="8"/>
  <c r="I180" i="8"/>
  <c r="J180" i="8"/>
  <c r="K180" i="8"/>
  <c r="L180" i="8"/>
  <c r="O180" i="8"/>
  <c r="P180" i="8"/>
  <c r="Q180" i="8"/>
  <c r="R180" i="8"/>
  <c r="I181" i="8"/>
  <c r="J181" i="8"/>
  <c r="K181" i="8"/>
  <c r="L181" i="8"/>
  <c r="O181" i="8"/>
  <c r="P181" i="8"/>
  <c r="Q181" i="8"/>
  <c r="R181" i="8"/>
  <c r="I182" i="8"/>
  <c r="J182" i="8"/>
  <c r="K182" i="8"/>
  <c r="L182" i="8"/>
  <c r="O182" i="8"/>
  <c r="P182" i="8"/>
  <c r="Q182" i="8"/>
  <c r="R182" i="8"/>
  <c r="I183" i="8"/>
  <c r="J183" i="8"/>
  <c r="K183" i="8"/>
  <c r="L183" i="8"/>
  <c r="O183" i="8"/>
  <c r="P183" i="8"/>
  <c r="Q183" i="8"/>
  <c r="R183" i="8"/>
  <c r="I184" i="8"/>
  <c r="J184" i="8"/>
  <c r="K184" i="8"/>
  <c r="L184" i="8"/>
  <c r="O184" i="8"/>
  <c r="P184" i="8"/>
  <c r="Q184" i="8"/>
  <c r="R184" i="8"/>
  <c r="I185" i="8"/>
  <c r="J185" i="8"/>
  <c r="K185" i="8"/>
  <c r="L185" i="8"/>
  <c r="O185" i="8"/>
  <c r="P185" i="8"/>
  <c r="Q185" i="8"/>
  <c r="R185" i="8"/>
  <c r="I186" i="8"/>
  <c r="J186" i="8"/>
  <c r="K186" i="8"/>
  <c r="L186" i="8"/>
  <c r="O186" i="8"/>
  <c r="P186" i="8"/>
  <c r="Q186" i="8"/>
  <c r="R186" i="8"/>
  <c r="I187" i="8"/>
  <c r="J187" i="8"/>
  <c r="K187" i="8"/>
  <c r="L187" i="8"/>
  <c r="O187" i="8"/>
  <c r="P187" i="8"/>
  <c r="Q187" i="8"/>
  <c r="R187" i="8"/>
  <c r="I188" i="8"/>
  <c r="J188" i="8"/>
  <c r="K188" i="8"/>
  <c r="L188" i="8"/>
  <c r="O188" i="8"/>
  <c r="P188" i="8"/>
  <c r="Q188" i="8"/>
  <c r="R188" i="8"/>
  <c r="I189" i="8"/>
  <c r="J189" i="8"/>
  <c r="K189" i="8"/>
  <c r="L189" i="8"/>
  <c r="O189" i="8"/>
  <c r="P189" i="8"/>
  <c r="Q189" i="8"/>
  <c r="R189" i="8"/>
  <c r="I190" i="8"/>
  <c r="J190" i="8"/>
  <c r="K190" i="8"/>
  <c r="L190" i="8"/>
  <c r="O190" i="8"/>
  <c r="P190" i="8"/>
  <c r="Q190" i="8"/>
  <c r="R190" i="8"/>
  <c r="I191" i="8"/>
  <c r="J191" i="8"/>
  <c r="K191" i="8"/>
  <c r="L191" i="8"/>
  <c r="O191" i="8"/>
  <c r="P191" i="8"/>
  <c r="Q191" i="8"/>
  <c r="R191" i="8"/>
  <c r="I192" i="8"/>
  <c r="J192" i="8"/>
  <c r="K192" i="8"/>
  <c r="L192" i="8"/>
  <c r="O192" i="8"/>
  <c r="P192" i="8"/>
  <c r="Q192" i="8"/>
  <c r="R192" i="8"/>
  <c r="I193" i="8"/>
  <c r="J193" i="8"/>
  <c r="K193" i="8"/>
  <c r="L193" i="8"/>
  <c r="O193" i="8"/>
  <c r="P193" i="8"/>
  <c r="Q193" i="8"/>
  <c r="R193" i="8"/>
  <c r="I194" i="8"/>
  <c r="J194" i="8"/>
  <c r="K194" i="8"/>
  <c r="L194" i="8"/>
  <c r="O194" i="8"/>
  <c r="P194" i="8"/>
  <c r="Q194" i="8"/>
  <c r="R194" i="8"/>
  <c r="I195" i="8"/>
  <c r="J195" i="8"/>
  <c r="K195" i="8"/>
  <c r="L195" i="8"/>
  <c r="O195" i="8"/>
  <c r="P195" i="8"/>
  <c r="Q195" i="8"/>
  <c r="R195" i="8"/>
  <c r="I196" i="8"/>
  <c r="J196" i="8"/>
  <c r="K196" i="8"/>
  <c r="L196" i="8"/>
  <c r="O196" i="8"/>
  <c r="P196" i="8"/>
  <c r="Q196" i="8"/>
  <c r="R196" i="8"/>
  <c r="I197" i="8"/>
  <c r="J197" i="8"/>
  <c r="K197" i="8"/>
  <c r="L197" i="8"/>
  <c r="O197" i="8"/>
  <c r="P197" i="8"/>
  <c r="Q197" i="8"/>
  <c r="R197" i="8"/>
  <c r="I198" i="8"/>
  <c r="J198" i="8"/>
  <c r="K198" i="8"/>
  <c r="L198" i="8"/>
  <c r="O198" i="8"/>
  <c r="P198" i="8"/>
  <c r="Q198" i="8"/>
  <c r="R198" i="8"/>
  <c r="I199" i="8"/>
  <c r="J199" i="8"/>
  <c r="K199" i="8"/>
  <c r="L199" i="8"/>
  <c r="O199" i="8"/>
  <c r="P199" i="8"/>
  <c r="Q199" i="8"/>
  <c r="R199" i="8"/>
  <c r="I200" i="8"/>
  <c r="J200" i="8"/>
  <c r="K200" i="8"/>
  <c r="L200" i="8"/>
  <c r="O200" i="8"/>
  <c r="P200" i="8"/>
  <c r="Q200" i="8"/>
  <c r="R200" i="8"/>
  <c r="I201" i="8"/>
  <c r="J201" i="8"/>
  <c r="K201" i="8"/>
  <c r="L201" i="8"/>
  <c r="O201" i="8"/>
  <c r="P201" i="8"/>
  <c r="Q201" i="8"/>
  <c r="R201" i="8"/>
  <c r="I202" i="8"/>
  <c r="J202" i="8"/>
  <c r="K202" i="8"/>
  <c r="L202" i="8"/>
  <c r="O202" i="8"/>
  <c r="P202" i="8"/>
  <c r="Q202" i="8"/>
  <c r="R202" i="8"/>
  <c r="I203" i="8"/>
  <c r="J203" i="8"/>
  <c r="K203" i="8"/>
  <c r="L203" i="8"/>
  <c r="O203" i="8"/>
  <c r="P203" i="8"/>
  <c r="Q203" i="8"/>
  <c r="R203" i="8"/>
  <c r="I204" i="8"/>
  <c r="J204" i="8"/>
  <c r="K204" i="8"/>
  <c r="L204" i="8"/>
  <c r="O204" i="8"/>
  <c r="P204" i="8"/>
  <c r="Q204" i="8"/>
  <c r="R204" i="8"/>
  <c r="I205" i="8"/>
  <c r="J205" i="8"/>
  <c r="K205" i="8"/>
  <c r="L205" i="8"/>
  <c r="O205" i="8"/>
  <c r="P205" i="8"/>
  <c r="Q205" i="8"/>
  <c r="R205" i="8"/>
  <c r="I206" i="8"/>
  <c r="J206" i="8"/>
  <c r="K206" i="8"/>
  <c r="L206" i="8"/>
  <c r="O206" i="8"/>
  <c r="P206" i="8"/>
  <c r="Q206" i="8"/>
  <c r="R206" i="8"/>
  <c r="I207" i="8"/>
  <c r="J207" i="8"/>
  <c r="K207" i="8"/>
  <c r="L207" i="8"/>
  <c r="O207" i="8"/>
  <c r="P207" i="8"/>
  <c r="Q207" i="8"/>
  <c r="R207" i="8"/>
  <c r="I208" i="8"/>
  <c r="J208" i="8"/>
  <c r="K208" i="8"/>
  <c r="L208" i="8"/>
  <c r="O208" i="8"/>
  <c r="P208" i="8"/>
  <c r="Q208" i="8"/>
  <c r="R208" i="8"/>
  <c r="I209" i="8"/>
  <c r="J209" i="8"/>
  <c r="K209" i="8"/>
  <c r="L209" i="8"/>
  <c r="M209" i="8"/>
  <c r="N209" i="8"/>
  <c r="O209" i="8"/>
  <c r="P209" i="8"/>
  <c r="Q209" i="8"/>
  <c r="R209" i="8"/>
  <c r="I210" i="8"/>
  <c r="J210" i="8"/>
  <c r="K210" i="8"/>
  <c r="L210" i="8"/>
  <c r="M210" i="8"/>
  <c r="N210" i="8"/>
  <c r="O210" i="8"/>
  <c r="P210" i="8"/>
  <c r="Q210" i="8"/>
  <c r="R210" i="8"/>
  <c r="I211" i="8"/>
  <c r="J211" i="8"/>
  <c r="K211" i="8"/>
  <c r="L211" i="8"/>
  <c r="M211" i="8"/>
  <c r="N211" i="8"/>
  <c r="O211" i="8"/>
  <c r="P211" i="8"/>
  <c r="Q211" i="8"/>
  <c r="R211" i="8"/>
  <c r="I212" i="8"/>
  <c r="J212" i="8"/>
  <c r="K212" i="8"/>
  <c r="L212" i="8"/>
  <c r="M212" i="8"/>
  <c r="N212" i="8"/>
  <c r="O212" i="8"/>
  <c r="P212" i="8"/>
  <c r="Q212" i="8"/>
  <c r="R212" i="8"/>
  <c r="I213" i="8"/>
  <c r="J213" i="8"/>
  <c r="K213" i="8"/>
  <c r="L213" i="8"/>
  <c r="M213" i="8"/>
  <c r="N213" i="8"/>
  <c r="O213" i="8"/>
  <c r="P213" i="8"/>
  <c r="Q213" i="8"/>
  <c r="R213" i="8"/>
  <c r="I214" i="8"/>
  <c r="J214" i="8"/>
  <c r="K214" i="8"/>
  <c r="L214" i="8"/>
  <c r="M214" i="8"/>
  <c r="N214" i="8"/>
  <c r="O214" i="8"/>
  <c r="P214" i="8"/>
  <c r="Q214" i="8"/>
  <c r="R214" i="8"/>
  <c r="I215" i="8"/>
  <c r="J215" i="8"/>
  <c r="K215" i="8"/>
  <c r="L215" i="8"/>
  <c r="M215" i="8"/>
  <c r="N215" i="8"/>
  <c r="O215" i="8"/>
  <c r="P215" i="8"/>
  <c r="Q215" i="8"/>
  <c r="R215" i="8"/>
  <c r="I216" i="8"/>
  <c r="J216" i="8"/>
  <c r="K216" i="8"/>
  <c r="L216" i="8"/>
  <c r="M216" i="8"/>
  <c r="N216" i="8"/>
  <c r="O216" i="8"/>
  <c r="P216" i="8"/>
  <c r="Q216" i="8"/>
  <c r="R216" i="8"/>
  <c r="I217" i="8"/>
  <c r="J217" i="8"/>
  <c r="K217" i="8"/>
  <c r="L217" i="8"/>
  <c r="M217" i="8"/>
  <c r="N217" i="8"/>
  <c r="O217" i="8"/>
  <c r="P217" i="8"/>
  <c r="Q217" i="8"/>
  <c r="R217" i="8"/>
  <c r="I218" i="8"/>
  <c r="J218" i="8"/>
  <c r="K218" i="8"/>
  <c r="L218" i="8"/>
  <c r="M218" i="8"/>
  <c r="N218" i="8"/>
  <c r="O218" i="8"/>
  <c r="P218" i="8"/>
  <c r="Q218" i="8"/>
  <c r="R218" i="8"/>
  <c r="I219" i="8"/>
  <c r="J219" i="8"/>
  <c r="K219" i="8"/>
  <c r="L219" i="8"/>
  <c r="M219" i="8"/>
  <c r="N219" i="8"/>
  <c r="O219" i="8"/>
  <c r="P219" i="8"/>
  <c r="Q219" i="8"/>
  <c r="R219" i="8"/>
  <c r="I220" i="8"/>
  <c r="J220" i="8"/>
  <c r="K220" i="8"/>
  <c r="L220" i="8"/>
  <c r="M220" i="8"/>
  <c r="N220" i="8"/>
  <c r="O220" i="8"/>
  <c r="P220" i="8"/>
  <c r="Q220" i="8"/>
  <c r="R220" i="8"/>
  <c r="I221" i="8"/>
  <c r="J221" i="8"/>
  <c r="K221" i="8"/>
  <c r="L221" i="8"/>
  <c r="O221" i="8"/>
  <c r="P221" i="8"/>
  <c r="Q221" i="8"/>
  <c r="R221" i="8"/>
  <c r="I222" i="8"/>
  <c r="J222" i="8"/>
  <c r="K222" i="8"/>
  <c r="L222" i="8"/>
  <c r="O222" i="8"/>
  <c r="P222" i="8"/>
  <c r="Q222" i="8"/>
  <c r="R222" i="8"/>
  <c r="I223" i="8"/>
  <c r="J223" i="8"/>
  <c r="K223" i="8"/>
  <c r="L223" i="8"/>
  <c r="O223" i="8"/>
  <c r="P223" i="8"/>
  <c r="Q223" i="8"/>
  <c r="R223" i="8"/>
  <c r="I224" i="8"/>
  <c r="J224" i="8"/>
  <c r="K224" i="8"/>
  <c r="L224" i="8"/>
  <c r="O224" i="8"/>
  <c r="P224" i="8"/>
  <c r="Q224" i="8"/>
  <c r="R224" i="8"/>
  <c r="I225" i="8"/>
  <c r="J225" i="8"/>
  <c r="K225" i="8"/>
  <c r="L225" i="8"/>
  <c r="O225" i="8"/>
  <c r="P225" i="8"/>
  <c r="Q225" i="8"/>
  <c r="R225" i="8"/>
  <c r="I226" i="8"/>
  <c r="J226" i="8"/>
  <c r="K226" i="8"/>
  <c r="L226" i="8"/>
  <c r="O226" i="8"/>
  <c r="P226" i="8"/>
  <c r="Q226" i="8"/>
  <c r="R226" i="8"/>
  <c r="I227" i="8"/>
  <c r="J227" i="8"/>
  <c r="K227" i="8"/>
  <c r="L227" i="8"/>
  <c r="O227" i="8"/>
  <c r="P227" i="8"/>
  <c r="Q227" i="8"/>
  <c r="R227" i="8"/>
  <c r="I228" i="8"/>
  <c r="J228" i="8"/>
  <c r="K228" i="8"/>
  <c r="L228" i="8"/>
  <c r="O228" i="8"/>
  <c r="P228" i="8"/>
  <c r="Q228" i="8"/>
  <c r="R228" i="8"/>
  <c r="I229" i="8"/>
  <c r="J229" i="8"/>
  <c r="K229" i="8"/>
  <c r="L229" i="8"/>
  <c r="O229" i="8"/>
  <c r="P229" i="8"/>
  <c r="Q229" i="8"/>
  <c r="R229" i="8"/>
  <c r="I230" i="8"/>
  <c r="J230" i="8"/>
  <c r="K230" i="8"/>
  <c r="L230" i="8"/>
  <c r="O230" i="8"/>
  <c r="P230" i="8"/>
  <c r="Q230" i="8"/>
  <c r="R230" i="8"/>
  <c r="I231" i="8"/>
  <c r="J231" i="8"/>
  <c r="K231" i="8"/>
  <c r="L231" i="8"/>
  <c r="O231" i="8"/>
  <c r="P231" i="8"/>
  <c r="Q231" i="8"/>
  <c r="R231" i="8"/>
  <c r="I232" i="8"/>
  <c r="J232" i="8"/>
  <c r="K232" i="8"/>
  <c r="L232" i="8"/>
  <c r="O232" i="8"/>
  <c r="P232" i="8"/>
  <c r="Q232" i="8"/>
  <c r="R232" i="8"/>
  <c r="I233" i="8"/>
  <c r="J233" i="8"/>
  <c r="K233" i="8"/>
  <c r="L233" i="8"/>
  <c r="O233" i="8"/>
  <c r="P233" i="8"/>
  <c r="Q233" i="8"/>
  <c r="R233" i="8"/>
  <c r="I234" i="8"/>
  <c r="J234" i="8"/>
  <c r="K234" i="8"/>
  <c r="L234" i="8"/>
  <c r="O234" i="8"/>
  <c r="P234" i="8"/>
  <c r="Q234" i="8"/>
  <c r="R234" i="8"/>
  <c r="I235" i="8"/>
  <c r="J235" i="8"/>
  <c r="K235" i="8"/>
  <c r="L235" i="8"/>
  <c r="O235" i="8"/>
  <c r="P235" i="8"/>
  <c r="Q235" i="8"/>
  <c r="R235" i="8"/>
  <c r="I236" i="8"/>
  <c r="J236" i="8"/>
  <c r="K236" i="8"/>
  <c r="L236" i="8"/>
  <c r="O236" i="8"/>
  <c r="P236" i="8"/>
  <c r="Q236" i="8"/>
  <c r="R236" i="8"/>
  <c r="I237" i="8"/>
  <c r="J237" i="8"/>
  <c r="K237" i="8"/>
  <c r="L237" i="8"/>
  <c r="O237" i="8"/>
  <c r="P237" i="8"/>
  <c r="Q237" i="8"/>
  <c r="R237" i="8"/>
  <c r="I238" i="8"/>
  <c r="J238" i="8"/>
  <c r="K238" i="8"/>
  <c r="L238" i="8"/>
  <c r="O238" i="8"/>
  <c r="P238" i="8"/>
  <c r="Q238" i="8"/>
  <c r="R238" i="8"/>
  <c r="I239" i="8"/>
  <c r="J239" i="8"/>
  <c r="K239" i="8"/>
  <c r="L239" i="8"/>
  <c r="O239" i="8"/>
  <c r="P239" i="8"/>
  <c r="Q239" i="8"/>
  <c r="R239" i="8"/>
  <c r="I240" i="8"/>
  <c r="J240" i="8"/>
  <c r="K240" i="8"/>
  <c r="L240" i="8"/>
  <c r="O240" i="8"/>
  <c r="P240" i="8"/>
  <c r="Q240" i="8"/>
  <c r="R240" i="8"/>
  <c r="I241" i="8"/>
  <c r="J241" i="8"/>
  <c r="K241" i="8"/>
  <c r="L241" i="8"/>
  <c r="O241" i="8"/>
  <c r="P241" i="8"/>
  <c r="Q241" i="8"/>
  <c r="R241" i="8"/>
  <c r="I242" i="8"/>
  <c r="J242" i="8"/>
  <c r="K242" i="8"/>
  <c r="L242" i="8"/>
  <c r="O242" i="8"/>
  <c r="P242" i="8"/>
  <c r="Q242" i="8"/>
  <c r="R242" i="8"/>
  <c r="I243" i="8"/>
  <c r="J243" i="8"/>
  <c r="K243" i="8"/>
  <c r="L243" i="8"/>
  <c r="O243" i="8"/>
  <c r="P243" i="8"/>
  <c r="Q243" i="8"/>
  <c r="R243" i="8"/>
  <c r="I244" i="8"/>
  <c r="J244" i="8"/>
  <c r="K244" i="8"/>
  <c r="L244" i="8"/>
  <c r="O244" i="8"/>
  <c r="P244" i="8"/>
  <c r="Q244" i="8"/>
  <c r="R244" i="8"/>
  <c r="I245" i="8"/>
  <c r="J245" i="8"/>
  <c r="K245" i="8"/>
  <c r="L245" i="8"/>
  <c r="M245" i="8"/>
  <c r="N245" i="8"/>
  <c r="O245" i="8"/>
  <c r="P245" i="8"/>
  <c r="Q245" i="8"/>
  <c r="R245" i="8"/>
  <c r="I246" i="8"/>
  <c r="J246" i="8"/>
  <c r="K246" i="8"/>
  <c r="L246" i="8"/>
  <c r="M246" i="8"/>
  <c r="N246" i="8"/>
  <c r="O246" i="8"/>
  <c r="P246" i="8"/>
  <c r="Q246" i="8"/>
  <c r="R246" i="8"/>
  <c r="I247" i="8"/>
  <c r="J247" i="8"/>
  <c r="K247" i="8"/>
  <c r="L247" i="8"/>
  <c r="M247" i="8"/>
  <c r="N247" i="8"/>
  <c r="O247" i="8"/>
  <c r="P247" i="8"/>
  <c r="Q247" i="8"/>
  <c r="R247" i="8"/>
  <c r="I248" i="8"/>
  <c r="J248" i="8"/>
  <c r="K248" i="8"/>
  <c r="L248" i="8"/>
  <c r="M248" i="8"/>
  <c r="N248" i="8"/>
  <c r="O248" i="8"/>
  <c r="P248" i="8"/>
  <c r="Q248" i="8"/>
  <c r="R248" i="8"/>
  <c r="I249" i="8"/>
  <c r="J249" i="8"/>
  <c r="K249" i="8"/>
  <c r="L249" i="8"/>
  <c r="M249" i="8"/>
  <c r="N249" i="8"/>
  <c r="O249" i="8"/>
  <c r="P249" i="8"/>
  <c r="Q249" i="8"/>
  <c r="R249" i="8"/>
  <c r="I250" i="8"/>
  <c r="J250" i="8"/>
  <c r="K250" i="8"/>
  <c r="L250" i="8"/>
  <c r="M250" i="8"/>
  <c r="N250" i="8"/>
  <c r="O250" i="8"/>
  <c r="P250" i="8"/>
  <c r="Q250" i="8"/>
  <c r="R250" i="8"/>
  <c r="I251" i="8"/>
  <c r="J251" i="8"/>
  <c r="K251" i="8"/>
  <c r="L251" i="8"/>
  <c r="M251" i="8"/>
  <c r="N251" i="8"/>
  <c r="O251" i="8"/>
  <c r="P251" i="8"/>
  <c r="Q251" i="8"/>
  <c r="R251" i="8"/>
  <c r="I252" i="8"/>
  <c r="J252" i="8"/>
  <c r="K252" i="8"/>
  <c r="L252" i="8"/>
  <c r="M252" i="8"/>
  <c r="N252" i="8"/>
  <c r="O252" i="8"/>
  <c r="P252" i="8"/>
  <c r="Q252" i="8"/>
  <c r="R252" i="8"/>
  <c r="I253" i="8"/>
  <c r="J253" i="8"/>
  <c r="K253" i="8"/>
  <c r="L253" i="8"/>
  <c r="M253" i="8"/>
  <c r="N253" i="8"/>
  <c r="O253" i="8"/>
  <c r="P253" i="8"/>
  <c r="Q253" i="8"/>
  <c r="R253" i="8"/>
  <c r="I254" i="8"/>
  <c r="J254" i="8"/>
  <c r="K254" i="8"/>
  <c r="L254" i="8"/>
  <c r="M254" i="8"/>
  <c r="N254" i="8"/>
  <c r="O254" i="8"/>
  <c r="P254" i="8"/>
  <c r="Q254" i="8"/>
  <c r="R254" i="8"/>
  <c r="I255" i="8"/>
  <c r="J255" i="8"/>
  <c r="K255" i="8"/>
  <c r="L255" i="8"/>
  <c r="M255" i="8"/>
  <c r="N255" i="8"/>
  <c r="O255" i="8"/>
  <c r="P255" i="8"/>
  <c r="Q255" i="8"/>
  <c r="R255" i="8"/>
  <c r="I256" i="8"/>
  <c r="J256" i="8"/>
  <c r="K256" i="8"/>
  <c r="L256" i="8"/>
  <c r="M256" i="8"/>
  <c r="N256" i="8"/>
  <c r="O256" i="8"/>
  <c r="P256" i="8"/>
  <c r="Q256" i="8"/>
  <c r="R256" i="8"/>
  <c r="I257" i="8"/>
  <c r="J257" i="8"/>
  <c r="K257" i="8"/>
  <c r="L257" i="8"/>
  <c r="M257" i="8"/>
  <c r="N257" i="8"/>
  <c r="O257" i="8"/>
  <c r="P257" i="8"/>
  <c r="Q257" i="8"/>
  <c r="R257" i="8"/>
  <c r="I258" i="8"/>
  <c r="J258" i="8"/>
  <c r="K258" i="8"/>
  <c r="L258" i="8"/>
  <c r="M258" i="8"/>
  <c r="N258" i="8"/>
  <c r="O258" i="8"/>
  <c r="P258" i="8"/>
  <c r="Q258" i="8"/>
  <c r="R258" i="8"/>
  <c r="I259" i="8"/>
  <c r="J259" i="8"/>
  <c r="K259" i="8"/>
  <c r="L259" i="8"/>
  <c r="M259" i="8"/>
  <c r="N259" i="8"/>
  <c r="O259" i="8"/>
  <c r="P259" i="8"/>
  <c r="Q259" i="8"/>
  <c r="R259" i="8"/>
  <c r="I260" i="8"/>
  <c r="J260" i="8"/>
  <c r="K260" i="8"/>
  <c r="L260" i="8"/>
  <c r="M260" i="8"/>
  <c r="N260" i="8"/>
  <c r="O260" i="8"/>
  <c r="P260" i="8"/>
  <c r="Q260" i="8"/>
  <c r="R260" i="8"/>
  <c r="I261" i="8"/>
  <c r="J261" i="8"/>
  <c r="K261" i="8"/>
  <c r="L261" i="8"/>
  <c r="M261" i="8"/>
  <c r="N261" i="8"/>
  <c r="O261" i="8"/>
  <c r="P261" i="8"/>
  <c r="Q261" i="8"/>
  <c r="R261" i="8"/>
  <c r="I262" i="8"/>
  <c r="J262" i="8"/>
  <c r="K262" i="8"/>
  <c r="L262" i="8"/>
  <c r="M262" i="8"/>
  <c r="N262" i="8"/>
  <c r="O262" i="8"/>
  <c r="P262" i="8"/>
  <c r="Q262" i="8"/>
  <c r="R262" i="8"/>
  <c r="I263" i="8"/>
  <c r="J263" i="8"/>
  <c r="K263" i="8"/>
  <c r="L263" i="8"/>
  <c r="M263" i="8"/>
  <c r="N263" i="8"/>
  <c r="O263" i="8"/>
  <c r="P263" i="8"/>
  <c r="Q263" i="8"/>
  <c r="R263" i="8"/>
  <c r="I264" i="8"/>
  <c r="J264" i="8"/>
  <c r="K264" i="8"/>
  <c r="L264" i="8"/>
  <c r="M264" i="8"/>
  <c r="N264" i="8"/>
  <c r="O264" i="8"/>
  <c r="P264" i="8"/>
  <c r="Q264" i="8"/>
  <c r="R264" i="8"/>
  <c r="I265" i="8"/>
  <c r="J265" i="8"/>
  <c r="K265" i="8"/>
  <c r="L265" i="8"/>
  <c r="M265" i="8"/>
  <c r="N265" i="8"/>
  <c r="O265" i="8"/>
  <c r="P265" i="8"/>
  <c r="Q265" i="8"/>
  <c r="R265" i="8"/>
  <c r="I266" i="8"/>
  <c r="J266" i="8"/>
  <c r="K266" i="8"/>
  <c r="L266" i="8"/>
  <c r="M266" i="8"/>
  <c r="N266" i="8"/>
  <c r="O266" i="8"/>
  <c r="P266" i="8"/>
  <c r="Q266" i="8"/>
  <c r="R266" i="8"/>
  <c r="I267" i="8"/>
  <c r="J267" i="8"/>
  <c r="K267" i="8"/>
  <c r="L267" i="8"/>
  <c r="M267" i="8"/>
  <c r="N267" i="8"/>
  <c r="O267" i="8"/>
  <c r="P267" i="8"/>
  <c r="Q267" i="8"/>
  <c r="R267" i="8"/>
  <c r="I268" i="8"/>
  <c r="J268" i="8"/>
  <c r="K268" i="8"/>
  <c r="L268" i="8"/>
  <c r="M268" i="8"/>
  <c r="N268" i="8"/>
  <c r="O268" i="8"/>
  <c r="P268" i="8"/>
  <c r="Q268" i="8"/>
  <c r="R268" i="8"/>
  <c r="I269" i="8"/>
  <c r="J269" i="8"/>
  <c r="K269" i="8"/>
  <c r="L269" i="8"/>
  <c r="M269" i="8"/>
  <c r="N269" i="8"/>
  <c r="O269" i="8"/>
  <c r="P269" i="8"/>
  <c r="Q269" i="8"/>
  <c r="R269" i="8"/>
  <c r="I270" i="8"/>
  <c r="J270" i="8"/>
  <c r="K270" i="8"/>
  <c r="L270" i="8"/>
  <c r="M270" i="8"/>
  <c r="N270" i="8"/>
  <c r="O270" i="8"/>
  <c r="P270" i="8"/>
  <c r="Q270" i="8"/>
  <c r="R270" i="8"/>
  <c r="I271" i="8"/>
  <c r="J271" i="8"/>
  <c r="K271" i="8"/>
  <c r="L271" i="8"/>
  <c r="M271" i="8"/>
  <c r="N271" i="8"/>
  <c r="O271" i="8"/>
  <c r="P271" i="8"/>
  <c r="Q271" i="8"/>
  <c r="R271" i="8"/>
  <c r="I272" i="8"/>
  <c r="J272" i="8"/>
  <c r="K272" i="8"/>
  <c r="L272" i="8"/>
  <c r="M272" i="8"/>
  <c r="N272" i="8"/>
  <c r="O272" i="8"/>
  <c r="P272" i="8"/>
  <c r="Q272" i="8"/>
  <c r="R272" i="8"/>
  <c r="I273" i="8"/>
  <c r="J273" i="8"/>
  <c r="K273" i="8"/>
  <c r="L273" i="8"/>
  <c r="M273" i="8"/>
  <c r="N273" i="8"/>
  <c r="O273" i="8"/>
  <c r="P273" i="8"/>
  <c r="Q273" i="8"/>
  <c r="R273" i="8"/>
  <c r="I274" i="8"/>
  <c r="J274" i="8"/>
  <c r="K274" i="8"/>
  <c r="L274" i="8"/>
  <c r="M274" i="8"/>
  <c r="N274" i="8"/>
  <c r="O274" i="8"/>
  <c r="P274" i="8"/>
  <c r="Q274" i="8"/>
  <c r="R274" i="8"/>
  <c r="I275" i="8"/>
  <c r="J275" i="8"/>
  <c r="K275" i="8"/>
  <c r="L275" i="8"/>
  <c r="M275" i="8"/>
  <c r="N275" i="8"/>
  <c r="O275" i="8"/>
  <c r="P275" i="8"/>
  <c r="Q275" i="8"/>
  <c r="R275" i="8"/>
  <c r="I276" i="8"/>
  <c r="J276" i="8"/>
  <c r="K276" i="8"/>
  <c r="L276" i="8"/>
  <c r="M276" i="8"/>
  <c r="N276" i="8"/>
  <c r="O276" i="8"/>
  <c r="P276" i="8"/>
  <c r="Q276" i="8"/>
  <c r="R276" i="8"/>
  <c r="I277" i="8"/>
  <c r="J277" i="8"/>
  <c r="K277" i="8"/>
  <c r="L277" i="8"/>
  <c r="M277" i="8"/>
  <c r="N277" i="8"/>
  <c r="O277" i="8"/>
  <c r="P277" i="8"/>
  <c r="Q277" i="8"/>
  <c r="R277" i="8"/>
  <c r="I278" i="8"/>
  <c r="J278" i="8"/>
  <c r="K278" i="8"/>
  <c r="L278" i="8"/>
  <c r="M278" i="8"/>
  <c r="N278" i="8"/>
  <c r="O278" i="8"/>
  <c r="P278" i="8"/>
  <c r="Q278" i="8"/>
  <c r="R278" i="8"/>
  <c r="I279" i="8"/>
  <c r="J279" i="8"/>
  <c r="K279" i="8"/>
  <c r="L279" i="8"/>
  <c r="M279" i="8"/>
  <c r="N279" i="8"/>
  <c r="O279" i="8"/>
  <c r="P279" i="8"/>
  <c r="Q279" i="8"/>
  <c r="R279" i="8"/>
  <c r="I280" i="8"/>
  <c r="J280" i="8"/>
  <c r="K280" i="8"/>
  <c r="L280" i="8"/>
  <c r="M280" i="8"/>
  <c r="N280" i="8"/>
  <c r="O280" i="8"/>
  <c r="P280" i="8"/>
  <c r="Q280" i="8"/>
  <c r="R280" i="8"/>
  <c r="I281" i="8"/>
  <c r="J281" i="8"/>
  <c r="K281" i="8"/>
  <c r="L281" i="8"/>
  <c r="M281" i="8"/>
  <c r="N281" i="8"/>
  <c r="O281" i="8"/>
  <c r="P281" i="8"/>
  <c r="Q281" i="8"/>
  <c r="R281" i="8"/>
  <c r="I282" i="8"/>
  <c r="J282" i="8"/>
  <c r="K282" i="8"/>
  <c r="L282" i="8"/>
  <c r="M282" i="8"/>
  <c r="N282" i="8"/>
  <c r="O282" i="8"/>
  <c r="P282" i="8"/>
  <c r="Q282" i="8"/>
  <c r="R282" i="8"/>
  <c r="I283" i="8"/>
  <c r="J283" i="8"/>
  <c r="K283" i="8"/>
  <c r="L283" i="8"/>
  <c r="M283" i="8"/>
  <c r="N283" i="8"/>
  <c r="O283" i="8"/>
  <c r="P283" i="8"/>
  <c r="Q283" i="8"/>
  <c r="R283" i="8"/>
  <c r="I284" i="8"/>
  <c r="J284" i="8"/>
  <c r="K284" i="8"/>
  <c r="L284" i="8"/>
  <c r="M284" i="8"/>
  <c r="N284" i="8"/>
  <c r="O284" i="8"/>
  <c r="P284" i="8"/>
  <c r="Q284" i="8"/>
  <c r="R284" i="8"/>
  <c r="I285" i="8"/>
  <c r="J285" i="8"/>
  <c r="K285" i="8"/>
  <c r="L285" i="8"/>
  <c r="M285" i="8"/>
  <c r="N285" i="8"/>
  <c r="O285" i="8"/>
  <c r="P285" i="8"/>
  <c r="Q285" i="8"/>
  <c r="R285" i="8"/>
  <c r="I286" i="8"/>
  <c r="J286" i="8"/>
  <c r="K286" i="8"/>
  <c r="L286" i="8"/>
  <c r="M286" i="8"/>
  <c r="N286" i="8"/>
  <c r="O286" i="8"/>
  <c r="P286" i="8"/>
  <c r="Q286" i="8"/>
  <c r="R286" i="8"/>
  <c r="I287" i="8"/>
  <c r="J287" i="8"/>
  <c r="K287" i="8"/>
  <c r="L287" i="8"/>
  <c r="M287" i="8"/>
  <c r="N287" i="8"/>
  <c r="O287" i="8"/>
  <c r="P287" i="8"/>
  <c r="Q287" i="8"/>
  <c r="R287" i="8"/>
  <c r="I288" i="8"/>
  <c r="J288" i="8"/>
  <c r="K288" i="8"/>
  <c r="L288" i="8"/>
  <c r="M288" i="8"/>
  <c r="N288" i="8"/>
  <c r="O288" i="8"/>
  <c r="P288" i="8"/>
  <c r="Q288" i="8"/>
  <c r="R288" i="8"/>
  <c r="I289" i="8"/>
  <c r="J289" i="8"/>
  <c r="K289" i="8"/>
  <c r="L289" i="8"/>
  <c r="M289" i="8"/>
  <c r="N289" i="8"/>
  <c r="O289" i="8"/>
  <c r="P289" i="8"/>
  <c r="Q289" i="8"/>
  <c r="R289" i="8"/>
  <c r="I290" i="8"/>
  <c r="J290" i="8"/>
  <c r="K290" i="8"/>
  <c r="L290" i="8"/>
  <c r="M290" i="8"/>
  <c r="N290" i="8"/>
  <c r="O290" i="8"/>
  <c r="P290" i="8"/>
  <c r="Q290" i="8"/>
  <c r="R290" i="8"/>
  <c r="I291" i="8"/>
  <c r="J291" i="8"/>
  <c r="K291" i="8"/>
  <c r="L291" i="8"/>
  <c r="M291" i="8"/>
  <c r="N291" i="8"/>
  <c r="O291" i="8"/>
  <c r="P291" i="8"/>
  <c r="Q291" i="8"/>
  <c r="R291" i="8"/>
  <c r="I292" i="8"/>
  <c r="J292" i="8"/>
  <c r="K292" i="8"/>
  <c r="L292" i="8"/>
  <c r="M292" i="8"/>
  <c r="N292" i="8"/>
  <c r="O292" i="8"/>
  <c r="P292" i="8"/>
  <c r="Q292" i="8"/>
  <c r="R292" i="8"/>
  <c r="I293" i="8"/>
  <c r="J293" i="8"/>
  <c r="K293" i="8"/>
  <c r="L293" i="8"/>
  <c r="M293" i="8"/>
  <c r="N293" i="8"/>
  <c r="O293" i="8"/>
  <c r="P293" i="8"/>
  <c r="Q293" i="8"/>
  <c r="R293" i="8"/>
  <c r="I294" i="8"/>
  <c r="J294" i="8"/>
  <c r="K294" i="8"/>
  <c r="L294" i="8"/>
  <c r="M294" i="8"/>
  <c r="N294" i="8"/>
  <c r="O294" i="8"/>
  <c r="P294" i="8"/>
  <c r="Q294" i="8"/>
  <c r="R294" i="8"/>
  <c r="I295" i="8"/>
  <c r="J295" i="8"/>
  <c r="K295" i="8"/>
  <c r="L295" i="8"/>
  <c r="M295" i="8"/>
  <c r="N295" i="8"/>
  <c r="O295" i="8"/>
  <c r="P295" i="8"/>
  <c r="Q295" i="8"/>
  <c r="R295" i="8"/>
  <c r="I296" i="8"/>
  <c r="J296" i="8"/>
  <c r="K296" i="8"/>
  <c r="L296" i="8"/>
  <c r="M296" i="8"/>
  <c r="N296" i="8"/>
  <c r="O296" i="8"/>
  <c r="P296" i="8"/>
  <c r="Q296" i="8"/>
  <c r="R296" i="8"/>
  <c r="I297" i="8"/>
  <c r="J297" i="8"/>
  <c r="K297" i="8"/>
  <c r="L297" i="8"/>
  <c r="M297" i="8"/>
  <c r="N297" i="8"/>
  <c r="O297" i="8"/>
  <c r="P297" i="8"/>
  <c r="Q297" i="8"/>
  <c r="R297" i="8"/>
  <c r="I298" i="8"/>
  <c r="J298" i="8"/>
  <c r="K298" i="8"/>
  <c r="L298" i="8"/>
  <c r="M298" i="8"/>
  <c r="N298" i="8"/>
  <c r="O298" i="8"/>
  <c r="P298" i="8"/>
  <c r="Q298" i="8"/>
  <c r="R298" i="8"/>
  <c r="I299" i="8"/>
  <c r="J299" i="8"/>
  <c r="K299" i="8"/>
  <c r="L299" i="8"/>
  <c r="M299" i="8"/>
  <c r="N299" i="8"/>
  <c r="O299" i="8"/>
  <c r="P299" i="8"/>
  <c r="Q299" i="8"/>
  <c r="R299" i="8"/>
  <c r="I300" i="8"/>
  <c r="J300" i="8"/>
  <c r="K300" i="8"/>
  <c r="L300" i="8"/>
  <c r="M300" i="8"/>
  <c r="N300" i="8"/>
  <c r="O300" i="8"/>
  <c r="P300" i="8"/>
  <c r="Q300" i="8"/>
  <c r="R300" i="8"/>
  <c r="I301" i="8"/>
  <c r="J301" i="8"/>
  <c r="K301" i="8"/>
  <c r="L301" i="8"/>
  <c r="M301" i="8"/>
  <c r="N301" i="8"/>
  <c r="O301" i="8"/>
  <c r="P301" i="8"/>
  <c r="Q301" i="8"/>
  <c r="R301" i="8"/>
  <c r="I302" i="8"/>
  <c r="J302" i="8"/>
  <c r="K302" i="8"/>
  <c r="L302" i="8"/>
  <c r="M302" i="8"/>
  <c r="N302" i="8"/>
  <c r="O302" i="8"/>
  <c r="P302" i="8"/>
  <c r="Q302" i="8"/>
  <c r="R302" i="8"/>
  <c r="I303" i="8"/>
  <c r="J303" i="8"/>
  <c r="K303" i="8"/>
  <c r="L303" i="8"/>
  <c r="M303" i="8"/>
  <c r="N303" i="8"/>
  <c r="O303" i="8"/>
  <c r="P303" i="8"/>
  <c r="Q303" i="8"/>
  <c r="R303" i="8"/>
  <c r="I304" i="8"/>
  <c r="J304" i="8"/>
  <c r="K304" i="8"/>
  <c r="L304" i="8"/>
  <c r="M304" i="8"/>
  <c r="N304" i="8"/>
  <c r="O304" i="8"/>
  <c r="P304" i="8"/>
  <c r="Q304" i="8"/>
  <c r="R304" i="8"/>
  <c r="I305" i="8"/>
  <c r="J305" i="8"/>
  <c r="K305" i="8"/>
  <c r="L305" i="8"/>
  <c r="M305" i="8"/>
  <c r="N305" i="8"/>
  <c r="O305" i="8"/>
  <c r="P305" i="8"/>
  <c r="Q305" i="8"/>
  <c r="R305" i="8"/>
  <c r="I306" i="8"/>
  <c r="J306" i="8"/>
  <c r="K306" i="8"/>
  <c r="L306" i="8"/>
  <c r="M306" i="8"/>
  <c r="N306" i="8"/>
  <c r="O306" i="8"/>
  <c r="P306" i="8"/>
  <c r="Q306" i="8"/>
  <c r="R306" i="8"/>
  <c r="I307" i="8"/>
  <c r="J307" i="8"/>
  <c r="K307" i="8"/>
  <c r="L307" i="8"/>
  <c r="M307" i="8"/>
  <c r="N307" i="8"/>
  <c r="O307" i="8"/>
  <c r="P307" i="8"/>
  <c r="Q307" i="8"/>
  <c r="R307" i="8"/>
  <c r="I308" i="8"/>
  <c r="J308" i="8"/>
  <c r="K308" i="8"/>
  <c r="L308" i="8"/>
  <c r="M308" i="8"/>
  <c r="N308" i="8"/>
  <c r="O308" i="8"/>
  <c r="P308" i="8"/>
  <c r="Q308" i="8"/>
  <c r="R308" i="8"/>
  <c r="I309" i="8"/>
  <c r="J309" i="8"/>
  <c r="K309" i="8"/>
  <c r="L309" i="8"/>
  <c r="M309" i="8"/>
  <c r="N309" i="8"/>
  <c r="O309" i="8"/>
  <c r="P309" i="8"/>
  <c r="Q309" i="8"/>
  <c r="R309" i="8"/>
  <c r="I310" i="8"/>
  <c r="J310" i="8"/>
  <c r="K310" i="8"/>
  <c r="L310" i="8"/>
  <c r="M310" i="8"/>
  <c r="N310" i="8"/>
  <c r="O310" i="8"/>
  <c r="P310" i="8"/>
  <c r="Q310" i="8"/>
  <c r="R310" i="8"/>
  <c r="I311" i="8"/>
  <c r="J311" i="8"/>
  <c r="K311" i="8"/>
  <c r="L311" i="8"/>
  <c r="M311" i="8"/>
  <c r="N311" i="8"/>
  <c r="O311" i="8"/>
  <c r="P311" i="8"/>
  <c r="Q311" i="8"/>
  <c r="R311" i="8"/>
  <c r="I312" i="8"/>
  <c r="J312" i="8"/>
  <c r="K312" i="8"/>
  <c r="L312" i="8"/>
  <c r="M312" i="8"/>
  <c r="N312" i="8"/>
  <c r="O312" i="8"/>
  <c r="P312" i="8"/>
  <c r="Q312" i="8"/>
  <c r="R312" i="8"/>
  <c r="I313" i="8"/>
  <c r="J313" i="8"/>
  <c r="K313" i="8"/>
  <c r="L313" i="8"/>
  <c r="M313" i="8"/>
  <c r="N313" i="8"/>
  <c r="O313" i="8"/>
  <c r="P313" i="8"/>
  <c r="Q313" i="8"/>
  <c r="R313" i="8"/>
  <c r="I314" i="8"/>
  <c r="J314" i="8"/>
  <c r="K314" i="8"/>
  <c r="L314" i="8"/>
  <c r="M314" i="8"/>
  <c r="N314" i="8"/>
  <c r="O314" i="8"/>
  <c r="P314" i="8"/>
  <c r="Q314" i="8"/>
  <c r="R314" i="8"/>
  <c r="I315" i="8"/>
  <c r="J315" i="8"/>
  <c r="K315" i="8"/>
  <c r="L315" i="8"/>
  <c r="M315" i="8"/>
  <c r="N315" i="8"/>
  <c r="O315" i="8"/>
  <c r="P315" i="8"/>
  <c r="Q315" i="8"/>
  <c r="R315" i="8"/>
  <c r="I316" i="8"/>
  <c r="J316" i="8"/>
  <c r="K316" i="8"/>
  <c r="L316" i="8"/>
  <c r="M316" i="8"/>
  <c r="N316" i="8"/>
  <c r="O316" i="8"/>
  <c r="P316" i="8"/>
  <c r="Q316" i="8"/>
  <c r="R316" i="8"/>
  <c r="I317" i="8"/>
  <c r="J317" i="8"/>
  <c r="K317" i="8"/>
  <c r="L317" i="8"/>
  <c r="M317" i="8"/>
  <c r="N317" i="8"/>
  <c r="O317" i="8"/>
  <c r="P317" i="8"/>
  <c r="Q317" i="8"/>
  <c r="R317" i="8"/>
  <c r="I318" i="8"/>
  <c r="J318" i="8"/>
  <c r="K318" i="8"/>
  <c r="L318" i="8"/>
  <c r="M318" i="8"/>
  <c r="N318" i="8"/>
  <c r="O318" i="8"/>
  <c r="P318" i="8"/>
  <c r="Q318" i="8"/>
  <c r="R318" i="8"/>
  <c r="I319" i="8"/>
  <c r="J319" i="8"/>
  <c r="K319" i="8"/>
  <c r="L319" i="8"/>
  <c r="M319" i="8"/>
  <c r="N319" i="8"/>
  <c r="O319" i="8"/>
  <c r="P319" i="8"/>
  <c r="Q319" i="8"/>
  <c r="R319" i="8"/>
  <c r="I320" i="8"/>
  <c r="J320" i="8"/>
  <c r="K320" i="8"/>
  <c r="L320" i="8"/>
  <c r="M320" i="8"/>
  <c r="N320" i="8"/>
  <c r="O320" i="8"/>
  <c r="P320" i="8"/>
  <c r="Q320" i="8"/>
  <c r="R320" i="8"/>
  <c r="I321" i="8"/>
  <c r="J321" i="8"/>
  <c r="K321" i="8"/>
  <c r="L321" i="8"/>
  <c r="M321" i="8"/>
  <c r="N321" i="8"/>
  <c r="O321" i="8"/>
  <c r="P321" i="8"/>
  <c r="Q321" i="8"/>
  <c r="R321" i="8"/>
  <c r="I322" i="8"/>
  <c r="J322" i="8"/>
  <c r="K322" i="8"/>
  <c r="L322" i="8"/>
  <c r="M322" i="8"/>
  <c r="N322" i="8"/>
  <c r="O322" i="8"/>
  <c r="P322" i="8"/>
  <c r="Q322" i="8"/>
  <c r="R322" i="8"/>
  <c r="I323" i="8"/>
  <c r="J323" i="8"/>
  <c r="K323" i="8"/>
  <c r="L323" i="8"/>
  <c r="M323" i="8"/>
  <c r="N323" i="8"/>
  <c r="O323" i="8"/>
  <c r="P323" i="8"/>
  <c r="Q323" i="8"/>
  <c r="R323" i="8"/>
  <c r="I324" i="8"/>
  <c r="J324" i="8"/>
  <c r="K324" i="8"/>
  <c r="L324" i="8"/>
  <c r="M324" i="8"/>
  <c r="N324" i="8"/>
  <c r="O324" i="8"/>
  <c r="P324" i="8"/>
  <c r="Q324" i="8"/>
  <c r="R324" i="8"/>
  <c r="I325" i="8"/>
  <c r="J325" i="8"/>
  <c r="K325" i="8"/>
  <c r="L325" i="8"/>
  <c r="M325" i="8"/>
  <c r="N325" i="8"/>
  <c r="O325" i="8"/>
  <c r="P325" i="8"/>
  <c r="Q325" i="8"/>
  <c r="R325" i="8"/>
  <c r="I326" i="8"/>
  <c r="J326" i="8"/>
  <c r="K326" i="8"/>
  <c r="L326" i="8"/>
  <c r="M326" i="8"/>
  <c r="N326" i="8"/>
  <c r="O326" i="8"/>
  <c r="P326" i="8"/>
  <c r="Q326" i="8"/>
  <c r="R326" i="8"/>
  <c r="I327" i="8"/>
  <c r="J327" i="8"/>
  <c r="K327" i="8"/>
  <c r="L327" i="8"/>
  <c r="M327" i="8"/>
  <c r="N327" i="8"/>
  <c r="O327" i="8"/>
  <c r="P327" i="8"/>
  <c r="Q327" i="8"/>
  <c r="R327" i="8"/>
  <c r="I328" i="8"/>
  <c r="J328" i="8"/>
  <c r="K328" i="8"/>
  <c r="L328" i="8"/>
  <c r="M328" i="8"/>
  <c r="N328" i="8"/>
  <c r="O328" i="8"/>
  <c r="P328" i="8"/>
  <c r="Q328" i="8"/>
  <c r="R328" i="8"/>
  <c r="I329" i="8"/>
  <c r="J329" i="8"/>
  <c r="K329" i="8"/>
  <c r="L329" i="8"/>
  <c r="O329" i="8"/>
  <c r="P329" i="8"/>
  <c r="Q329" i="8"/>
  <c r="R329" i="8"/>
  <c r="I330" i="8"/>
  <c r="J330" i="8"/>
  <c r="K330" i="8"/>
  <c r="L330" i="8"/>
  <c r="O330" i="8"/>
  <c r="P330" i="8"/>
  <c r="Q330" i="8"/>
  <c r="R330" i="8"/>
  <c r="I331" i="8"/>
  <c r="J331" i="8"/>
  <c r="K331" i="8"/>
  <c r="L331" i="8"/>
  <c r="O331" i="8"/>
  <c r="P331" i="8"/>
  <c r="Q331" i="8"/>
  <c r="R331" i="8"/>
  <c r="I332" i="8"/>
  <c r="J332" i="8"/>
  <c r="K332" i="8"/>
  <c r="L332" i="8"/>
  <c r="O332" i="8"/>
  <c r="P332" i="8"/>
  <c r="Q332" i="8"/>
  <c r="R332" i="8"/>
  <c r="I333" i="8"/>
  <c r="J333" i="8"/>
  <c r="K333" i="8"/>
  <c r="L333" i="8"/>
  <c r="O333" i="8"/>
  <c r="P333" i="8"/>
  <c r="Q333" i="8"/>
  <c r="R333" i="8"/>
  <c r="I334" i="8"/>
  <c r="J334" i="8"/>
  <c r="K334" i="8"/>
  <c r="L334" i="8"/>
  <c r="O334" i="8"/>
  <c r="P334" i="8"/>
  <c r="Q334" i="8"/>
  <c r="R334" i="8"/>
  <c r="I335" i="8"/>
  <c r="J335" i="8"/>
  <c r="K335" i="8"/>
  <c r="L335" i="8"/>
  <c r="O335" i="8"/>
  <c r="P335" i="8"/>
  <c r="Q335" i="8"/>
  <c r="R335" i="8"/>
  <c r="I336" i="8"/>
  <c r="J336" i="8"/>
  <c r="K336" i="8"/>
  <c r="L336" i="8"/>
  <c r="O336" i="8"/>
  <c r="P336" i="8"/>
  <c r="Q336" i="8"/>
  <c r="R336" i="8"/>
  <c r="I337" i="8"/>
  <c r="J337" i="8"/>
  <c r="K337" i="8"/>
  <c r="L337" i="8"/>
  <c r="O337" i="8"/>
  <c r="P337" i="8"/>
  <c r="Q337" i="8"/>
  <c r="R337" i="8"/>
  <c r="I338" i="8"/>
  <c r="J338" i="8"/>
  <c r="K338" i="8"/>
  <c r="L338" i="8"/>
  <c r="O338" i="8"/>
  <c r="P338" i="8"/>
  <c r="Q338" i="8"/>
  <c r="R338" i="8"/>
  <c r="I339" i="8"/>
  <c r="J339" i="8"/>
  <c r="K339" i="8"/>
  <c r="L339" i="8"/>
  <c r="O339" i="8"/>
  <c r="P339" i="8"/>
  <c r="Q339" i="8"/>
  <c r="R339" i="8"/>
  <c r="I340" i="8"/>
  <c r="J340" i="8"/>
  <c r="K340" i="8"/>
  <c r="L340" i="8"/>
  <c r="O340" i="8"/>
  <c r="P340" i="8"/>
  <c r="Q340" i="8"/>
  <c r="R340" i="8"/>
  <c r="I341" i="8"/>
  <c r="J341" i="8"/>
  <c r="K341" i="8"/>
  <c r="L341" i="8"/>
  <c r="O341" i="8"/>
  <c r="P341" i="8"/>
  <c r="Q341" i="8"/>
  <c r="R341" i="8"/>
  <c r="I342" i="8"/>
  <c r="J342" i="8"/>
  <c r="K342" i="8"/>
  <c r="L342" i="8"/>
  <c r="O342" i="8"/>
  <c r="P342" i="8"/>
  <c r="Q342" i="8"/>
  <c r="R342" i="8"/>
  <c r="I343" i="8"/>
  <c r="J343" i="8"/>
  <c r="K343" i="8"/>
  <c r="L343" i="8"/>
  <c r="O343" i="8"/>
  <c r="P343" i="8"/>
  <c r="Q343" i="8"/>
  <c r="R343" i="8"/>
  <c r="I344" i="8"/>
  <c r="J344" i="8"/>
  <c r="K344" i="8"/>
  <c r="L344" i="8"/>
  <c r="O344" i="8"/>
  <c r="P344" i="8"/>
  <c r="Q344" i="8"/>
  <c r="R344" i="8"/>
  <c r="I345" i="8"/>
  <c r="J345" i="8"/>
  <c r="K345" i="8"/>
  <c r="L345" i="8"/>
  <c r="O345" i="8"/>
  <c r="P345" i="8"/>
  <c r="Q345" i="8"/>
  <c r="R345" i="8"/>
  <c r="I346" i="8"/>
  <c r="J346" i="8"/>
  <c r="K346" i="8"/>
  <c r="L346" i="8"/>
  <c r="O346" i="8"/>
  <c r="P346" i="8"/>
  <c r="Q346" i="8"/>
  <c r="R346" i="8"/>
  <c r="I347" i="8"/>
  <c r="J347" i="8"/>
  <c r="K347" i="8"/>
  <c r="L347" i="8"/>
  <c r="O347" i="8"/>
  <c r="P347" i="8"/>
  <c r="Q347" i="8"/>
  <c r="R347" i="8"/>
  <c r="I348" i="8"/>
  <c r="J348" i="8"/>
  <c r="K348" i="8"/>
  <c r="L348" i="8"/>
  <c r="O348" i="8"/>
  <c r="P348" i="8"/>
  <c r="Q348" i="8"/>
  <c r="R348" i="8"/>
  <c r="I349" i="8"/>
  <c r="J349" i="8"/>
  <c r="K349" i="8"/>
  <c r="L349" i="8"/>
  <c r="O349" i="8"/>
  <c r="P349" i="8"/>
  <c r="Q349" i="8"/>
  <c r="R349" i="8"/>
  <c r="I350" i="8"/>
  <c r="J350" i="8"/>
  <c r="K350" i="8"/>
  <c r="L350" i="8"/>
  <c r="O350" i="8"/>
  <c r="P350" i="8"/>
  <c r="Q350" i="8"/>
  <c r="R350" i="8"/>
  <c r="I351" i="8"/>
  <c r="J351" i="8"/>
  <c r="K351" i="8"/>
  <c r="L351" i="8"/>
  <c r="O351" i="8"/>
  <c r="P351" i="8"/>
  <c r="Q351" i="8"/>
  <c r="R351" i="8"/>
  <c r="I352" i="8"/>
  <c r="J352" i="8"/>
  <c r="K352" i="8"/>
  <c r="L352" i="8"/>
  <c r="O352" i="8"/>
  <c r="P352" i="8"/>
  <c r="Q352" i="8"/>
  <c r="R352" i="8"/>
  <c r="I353" i="8"/>
  <c r="J353" i="8"/>
  <c r="K353" i="8"/>
  <c r="L353" i="8"/>
  <c r="O353" i="8"/>
  <c r="P353" i="8"/>
  <c r="Q353" i="8"/>
  <c r="R353" i="8"/>
  <c r="I354" i="8"/>
  <c r="J354" i="8"/>
  <c r="K354" i="8"/>
  <c r="L354" i="8"/>
  <c r="O354" i="8"/>
  <c r="P354" i="8"/>
  <c r="Q354" i="8"/>
  <c r="R354" i="8"/>
  <c r="I355" i="8"/>
  <c r="J355" i="8"/>
  <c r="K355" i="8"/>
  <c r="L355" i="8"/>
  <c r="O355" i="8"/>
  <c r="P355" i="8"/>
  <c r="Q355" i="8"/>
  <c r="R355" i="8"/>
  <c r="I356" i="8"/>
  <c r="J356" i="8"/>
  <c r="K356" i="8"/>
  <c r="L356" i="8"/>
  <c r="O356" i="8"/>
  <c r="P356" i="8"/>
  <c r="Q356" i="8"/>
  <c r="R356" i="8"/>
  <c r="I357" i="8"/>
  <c r="J357" i="8"/>
  <c r="K357" i="8"/>
  <c r="L357" i="8"/>
  <c r="O357" i="8"/>
  <c r="P357" i="8"/>
  <c r="Q357" i="8"/>
  <c r="R357" i="8"/>
  <c r="I358" i="8"/>
  <c r="J358" i="8"/>
  <c r="K358" i="8"/>
  <c r="L358" i="8"/>
  <c r="O358" i="8"/>
  <c r="P358" i="8"/>
  <c r="Q358" i="8"/>
  <c r="R358" i="8"/>
  <c r="I359" i="8"/>
  <c r="J359" i="8"/>
  <c r="K359" i="8"/>
  <c r="L359" i="8"/>
  <c r="O359" i="8"/>
  <c r="P359" i="8"/>
  <c r="Q359" i="8"/>
  <c r="R359" i="8"/>
  <c r="I360" i="8"/>
  <c r="J360" i="8"/>
  <c r="K360" i="8"/>
  <c r="L360" i="8"/>
  <c r="O360" i="8"/>
  <c r="P360" i="8"/>
  <c r="Q360" i="8"/>
  <c r="R360" i="8"/>
  <c r="I361" i="8"/>
  <c r="J361" i="8"/>
  <c r="K361" i="8"/>
  <c r="L361" i="8"/>
  <c r="O361" i="8"/>
  <c r="P361" i="8"/>
  <c r="Q361" i="8"/>
  <c r="R361" i="8"/>
  <c r="I362" i="8"/>
  <c r="J362" i="8"/>
  <c r="K362" i="8"/>
  <c r="L362" i="8"/>
  <c r="O362" i="8"/>
  <c r="P362" i="8"/>
  <c r="Q362" i="8"/>
  <c r="R362" i="8"/>
  <c r="I363" i="8"/>
  <c r="J363" i="8"/>
  <c r="K363" i="8"/>
  <c r="L363" i="8"/>
  <c r="O363" i="8"/>
  <c r="P363" i="8"/>
  <c r="Q363" i="8"/>
  <c r="R363" i="8"/>
  <c r="I364" i="8"/>
  <c r="J364" i="8"/>
  <c r="K364" i="8"/>
  <c r="L364" i="8"/>
  <c r="O364" i="8"/>
  <c r="P364" i="8"/>
  <c r="Q364" i="8"/>
  <c r="R36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Modèle FinOps</author>
  </authors>
  <commentList>
    <comment ref="C9" authorId="0" shapeId="0" xr:uid="{00000000-0006-0000-0200-000001000000}">
      <text>
        <r>
          <rPr>
            <sz val="11"/>
            <color theme="1"/>
            <rFont val="Calibri"/>
            <family val="2"/>
            <scheme val="minor"/>
          </rPr>
          <t>CPU cible ROKS = CPU réel P95 x ce coefficient. Exemple : Dynatrace mesure 8 CPU, avec un coefficient de 1.2 on budgète et on provisionne 9.6, arrondi à l'entier supérieur.</t>
        </r>
      </text>
    </comment>
  </commentList>
</comments>
</file>

<file path=xl/sharedStrings.xml><?xml version="1.0" encoding="utf-8"?>
<sst xmlns="http://schemas.openxmlformats.org/spreadsheetml/2006/main" count="1042" uniqueCount="334">
  <si>
    <t>Budget prévisionnel migration IKS vers ROKS, V3</t>
  </si>
  <si>
    <t>Sources en tables Excel dynamiques, capacity planning mensuel par cluster, vrai calcul du double run, présentation simplifiée</t>
  </si>
  <si>
    <t>Onglet</t>
  </si>
  <si>
    <t>Rôle</t>
  </si>
  <si>
    <t>À savoir</t>
  </si>
  <si>
    <t>Inventaire</t>
  </si>
  <si>
    <t>Table tblApplications. Une ligne par application : classification, P95 observé, cible avec marge, dates ROKS/IKS, cluster auto</t>
  </si>
  <si>
    <t>Ajoutez une ligne en bas du tableau, tout le classeur suit automatiquement</t>
  </si>
  <si>
    <t>Dynatrace_Extract</t>
  </si>
  <si>
    <t>Table tblDynatrace. Consommation réelle P95 par application</t>
  </si>
  <si>
    <t>À remplacer par l'export réel</t>
  </si>
  <si>
    <t>Tarifs_ABS</t>
  </si>
  <si>
    <t>Table tblTarifsABS. Tarif CPU/RAM par environnement, et coefficient de dimensionnement P95 vers cible</t>
  </si>
  <si>
    <t>Ajustez le coefficient selon la marge de sécurité souhaitée</t>
  </si>
  <si>
    <t>Flavors_Catalogue</t>
  </si>
  <si>
    <t>Table tblFlavors. Référentiel réel des flavors AsCode et DMZR</t>
  </si>
  <si>
    <t>Fourni, pas besoin d'y toucher</t>
  </si>
  <si>
    <t>Clusters_ROKS</t>
  </si>
  <si>
    <t>Table tblClusters. Registre réel des clusters, avec la charge déjà existante hors migration</t>
  </si>
  <si>
    <t>Renseignez la charge existante par cluster pour un calcul de saturation fiable</t>
  </si>
  <si>
    <t>Regles_Selection_Cluster</t>
  </si>
  <si>
    <t>Table tblRegles. Région/secret/environnement vers cluster principal et cluster de repli</t>
  </si>
  <si>
    <t>Complétez les lignes marquées à confirmer</t>
  </si>
  <si>
    <t>Projection_Clusters</t>
  </si>
  <si>
    <t>Mois x Cluster : charge existante, migrations cumulées, taux d'occupation, workers à ajouter</t>
  </si>
  <si>
    <t>C'est la vue qui répond à la question, combien de CPU faut-il en plus sur tel cluster en tel mois</t>
  </si>
  <si>
    <t>Consolidation_Mensuelle</t>
  </si>
  <si>
    <t>Coût IKS, coût ROKS et vrai surcoût du double run, mois par mois</t>
  </si>
  <si>
    <t>100% formule, rien à saisir</t>
  </si>
  <si>
    <t>Dashboard</t>
  </si>
  <si>
    <t>5 indicateurs clés et les deux courbes IKS/ROKS</t>
  </si>
  <si>
    <t>Ce qui a changé par rapport à la V2</t>
  </si>
  <si>
    <t>- L'Inventaire ne montre plus que 22 colonnes utiles au lieu de 41 : 14 à remplir, 8 calculées et lisibles au quotidien (cluster choisi, type, P95, cible, date d'arrêt IKS, statut).</t>
  </si>
  <si>
    <t>- Le détail du calcul (région effective, clé de sélection, cluster principal et de repli, vérification de capacité) existe toujours, au même endroit, mais replié sous un petit "+" au-dessus des colonnes. Rien n'est supprimé, juste rangé : cliquez sur le "+" pour l'auditer, ignorez-le sinon.</t>
  </si>
  <si>
    <t>- Trois colonnes de diagnostic (type de cluster attendu, cohérence, alerte de capacité) ont été fusionnées en une seule colonne Statut affectation cluster, qui raconte toute l'histoire en une phrase.</t>
  </si>
  <si>
    <t>- Même logique appliquée à Clusters_ROKS : les 4 colonnes sur la famille de flavor sont repliées par défaut.</t>
  </si>
  <si>
    <t>Rappel des apports de la V2 (toujours valables)</t>
  </si>
  <si>
    <t>- Toutes les sources sont des Tables Excel (tblApplications, tblDynatrace, tblClusters, tblTarifsABS, tblFlavors, tblRegles). Les formules utilisent des références de table, donc ajouter une ligne suffit, aucune formule à étendre à la main.</t>
  </si>
  <si>
    <t>- CPU/RAM réel P95 (Dynatrace) et CPU/RAM cible ROKS (P95 majoré d'un coefficient de dimensionnement, réglable dans Tarifs_ABS, et multiplié par le nombre de réplicas du service) sont deux choses distinctes. Tout le budget se base sur la cible, pas sur le P95 brut.</t>
  </si>
  <si>
    <t>- Onglet Projection_Clusters : capacité, charge existante et migrations cumulées mois par mois et cluster par cluster, avec le nombre de workers à commander en plus.</t>
  </si>
  <si>
    <t>- La bascule vers un cluster de repli se décide par date de migration prévue, et non par position de ligne dans le tableau.</t>
  </si>
  <si>
    <t>- Chaque application a une date de mise en service ROKS et une durée de double run, d'où une date d'arrêt IKS. Le double run mesure le vrai surcoût, la période où les deux environnements sont payés pour la même charge, et non le coût total pendant la coexistence.</t>
  </si>
  <si>
    <t>- Un indicateur Inclus dans la projection (O/N) permet d'exclure une application du budget sans la supprimer de l'inventaire.</t>
  </si>
  <si>
    <t>Le guide d'exploitation (comment ajouter une application, un cluster, une flavor ou une regle, avec un exercice pas a pas) est fourni a part, dans le fichier Guide_Exploitation.md.</t>
  </si>
  <si>
    <t>Code couleur utilise dans le classeur</t>
  </si>
  <si>
    <t>Texte bleu</t>
  </si>
  <si>
    <t>Donnee saisie manuellement (hypothese, export, tarif, flavor)</t>
  </si>
  <si>
    <t>Texte noir</t>
  </si>
  <si>
    <t>Formule calculee sur la meme feuille</t>
  </si>
  <si>
    <t>Texte vert</t>
  </si>
  <si>
    <t>Formule allant chercher une donnee sur un autre onglet ou une autre table</t>
  </si>
  <si>
    <t>Fond jaune</t>
  </si>
  <si>
    <t>Hypothese cle de demonstration, a valider et ajuster avant usage reel</t>
  </si>
  <si>
    <t>Fond orange</t>
  </si>
  <si>
    <t>Donnee transcrite d'une capture d'ecran encore incertaine, a confirmer</t>
  </si>
  <si>
    <t>Fond rouge</t>
  </si>
  <si>
    <t>Cluster dont le taux d'allocation depasse le seuil d'alerte, ou incoherence detectee</t>
  </si>
  <si>
    <t>Fond jaune pale</t>
  </si>
  <si>
    <t>Application basculee automatiquement sur son cluster de repli</t>
  </si>
  <si>
    <t>En-tete gris fonce</t>
  </si>
  <si>
    <t>Colonne technique de calcul (Inventaire, colonnes Z a AN), pas destinee a la saisie</t>
  </si>
  <si>
    <t>Export Dynatrace, consommations réelles (p95)</t>
  </si>
  <si>
    <t>Démo fictive, à remplacer par l'export réel Dynatrace</t>
  </si>
  <si>
    <t>Application</t>
  </si>
  <si>
    <t>CPU reel p95 (cores)</t>
  </si>
  <si>
    <t>RAM reelle p95 (Go)</t>
  </si>
  <si>
    <t>App01</t>
  </si>
  <si>
    <t>App02</t>
  </si>
  <si>
    <t>App03</t>
  </si>
  <si>
    <t>App04</t>
  </si>
  <si>
    <t>App05</t>
  </si>
  <si>
    <t>App06</t>
  </si>
  <si>
    <t>App07</t>
  </si>
  <si>
    <t>App08</t>
  </si>
  <si>
    <t>App09</t>
  </si>
  <si>
    <t>App10</t>
  </si>
  <si>
    <t>Source, export Dynatrace à coller ici, données ci-dessus fictives pour la démo</t>
  </si>
  <si>
    <t>Grille tarifaire ABS et hypothèse de dimensionnement</t>
  </si>
  <si>
    <t>Un tarif CPU/RAM par environnement, sans distinction Mutualisé/Dédié</t>
  </si>
  <si>
    <t>Environnement</t>
  </si>
  <si>
    <t>Cout CPU (EUR/core/mois)</t>
  </si>
  <si>
    <t>Cout RAM (EUR/Go/mois)</t>
  </si>
  <si>
    <t>IKS</t>
  </si>
  <si>
    <t>ROKS</t>
  </si>
  <si>
    <t>Coefficient de dimensionnement (P95 vers cible)</t>
  </si>
  <si>
    <t>Exemple : Dynatrace mesure 8 CPU, budgété et provisionné = 8 x coefficient, arrondi à l'entier supérieur</t>
  </si>
  <si>
    <t>Valeurs ci-dessus fictives pour la démo, fond jaune = hypothèse à valider avant usage réel</t>
  </si>
  <si>
    <t>Catalogue des flavors disponibles</t>
  </si>
  <si>
    <t>Référentiel fourni (AsCode et DMZR), sert de liste déroulante pour choisir la flavor d'un cluster</t>
  </si>
  <si>
    <t>Infra</t>
  </si>
  <si>
    <t>Flavor</t>
  </si>
  <si>
    <t>vCPU</t>
  </si>
  <si>
    <t>RAM (Go)</t>
  </si>
  <si>
    <t>Famille</t>
  </si>
  <si>
    <t>Cle Famille vCPU</t>
  </si>
  <si>
    <t>AsCode</t>
  </si>
  <si>
    <t>cx3d.8x20</t>
  </si>
  <si>
    <t>bx3d.8x40</t>
  </si>
  <si>
    <t>cx3d.16x40</t>
  </si>
  <si>
    <t>bx3d.16x80</t>
  </si>
  <si>
    <t>mx3d.24x240</t>
  </si>
  <si>
    <t>cx3d.32x80</t>
  </si>
  <si>
    <t>bx3d.32x160</t>
  </si>
  <si>
    <t>mx3d.32x320</t>
  </si>
  <si>
    <t>bx3d.48x240</t>
  </si>
  <si>
    <t>cx3d.96x240</t>
  </si>
  <si>
    <t>DMZR</t>
  </si>
  <si>
    <t>bx2-4x16</t>
  </si>
  <si>
    <t>mx2-4x32</t>
  </si>
  <si>
    <t>cx2-8x16</t>
  </si>
  <si>
    <t>bx2-8x32</t>
  </si>
  <si>
    <t>mx2-8x64</t>
  </si>
  <si>
    <t>cx2-16x32</t>
  </si>
  <si>
    <t>bx2-16x64</t>
  </si>
  <si>
    <t>mx2-16x128</t>
  </si>
  <si>
    <t>cx2-32x64</t>
  </si>
  <si>
    <t>bx2-32x128</t>
  </si>
  <si>
    <t>mx2-32x256</t>
  </si>
  <si>
    <t>cx2-48x96</t>
  </si>
  <si>
    <t>bx2-48x192</t>
  </si>
  <si>
    <t>mx2-48x384</t>
  </si>
  <si>
    <t>mx2-64x512</t>
  </si>
  <si>
    <t>mx2-128x1024</t>
  </si>
  <si>
    <t>Référentiel fourni par l'utilisateur. Chaque flavor est unique dans le catalogue. La famille (colonne E) regroupe les flavors du même type (bx3d, cx3d, mx3d, bx2, cx2, mx2) : c'est elle qui sert à savoir si un cluster peut encore monter en gamme de flavor avant de devoir passer sur un autre cluster.</t>
  </si>
  <si>
    <t>Clusters ABS-DMZR, capacité et charge existante</t>
  </si>
  <si>
    <t>Registre transcrit du fichier ABS-DMZR-2026-05.xlsx, complété par la charge déjà en place hors migration</t>
  </si>
  <si>
    <t>Compte</t>
  </si>
  <si>
    <t>Cluster</t>
  </si>
  <si>
    <t>Utilisation</t>
  </si>
  <si>
    <t>Type (deduit)</t>
  </si>
  <si>
    <t>Worker Count</t>
  </si>
  <si>
    <t>Charge existante CPU hors migration</t>
  </si>
  <si>
    <t>Charge existante RAM hors migration (Go)</t>
  </si>
  <si>
    <t>vCPU / noeud (deduit)</t>
  </si>
  <si>
    <t>RAM / noeud - Go (deduit)</t>
  </si>
  <si>
    <t>CPU max (cores)</t>
  </si>
  <si>
    <t>RAM max (Go)</t>
  </si>
  <si>
    <t>CPU alloue migration (cores)</t>
  </si>
  <si>
    <t>RAM allouee migration (Go)</t>
  </si>
  <si>
    <t>CPU total projete (cores)</t>
  </si>
  <si>
    <t>RAM totale projetee (Go)</t>
  </si>
  <si>
    <t>Taux CPU</t>
  </si>
  <si>
    <t>Taux RAM</t>
  </si>
  <si>
    <t>Statut</t>
  </si>
  <si>
    <t>Extension necessaire un jour O/N</t>
  </si>
  <si>
    <t>Famille de la flavor</t>
  </si>
  <si>
    <t>vCPU max de la famille</t>
  </si>
  <si>
    <t>Flavor max de la famille atteinte O/N</t>
  </si>
  <si>
    <t>Flavor suivante suggeree</t>
  </si>
  <si>
    <t>Seuils d'alerte de saturation</t>
  </si>
  <si>
    <t>ac002i000296</t>
  </si>
  <si>
    <t>oc002i000577</t>
  </si>
  <si>
    <t>Mutualise GIE France</t>
  </si>
  <si>
    <t>PROD</t>
  </si>
  <si>
    <t>Seuil (% de la capacite max, CPU ou RAM)</t>
  </si>
  <si>
    <t>ac002i000293</t>
  </si>
  <si>
    <t>oc002i000578</t>
  </si>
  <si>
    <t>HORSPROD</t>
  </si>
  <si>
    <t>Seuil (nombre de workers max)</t>
  </si>
  <si>
    <t>oc002i000807</t>
  </si>
  <si>
    <t>Mutualise Secret GIE France</t>
  </si>
  <si>
    <t>oc002i000809</t>
  </si>
  <si>
    <t>ac002i000411</t>
  </si>
  <si>
    <t>oc002i000849</t>
  </si>
  <si>
    <t>Italy No Secret Hors-Prod</t>
  </si>
  <si>
    <t>ac002i000365</t>
  </si>
  <si>
    <t>oc002i000850</t>
  </si>
  <si>
    <t>Italy No Secret Prod</t>
  </si>
  <si>
    <t>oc002i001009</t>
  </si>
  <si>
    <t>LATAM Hors-Prod</t>
  </si>
  <si>
    <t>oc002i001010</t>
  </si>
  <si>
    <t>oc002i001011</t>
  </si>
  <si>
    <t>LATAM SECRET PROD</t>
  </si>
  <si>
    <t>oc002i001019</t>
  </si>
  <si>
    <t>oc-EMEA-NPR</t>
  </si>
  <si>
    <t>EMEA Non Secret Hors-Prod</t>
  </si>
  <si>
    <t>oc-EMEA-NOS-PRD</t>
  </si>
  <si>
    <t>EMEA Non Secret Prod</t>
  </si>
  <si>
    <t>oc-EMEA-SEC-PRD</t>
  </si>
  <si>
    <t>EMEA Secret Prod</t>
  </si>
  <si>
    <t>oc-JUMP-AEP-PRD</t>
  </si>
  <si>
    <t>JUMP AEP PROD</t>
  </si>
  <si>
    <t>oc-JUMP-CLV-PRD</t>
  </si>
  <si>
    <t>JUMP CLV PROD</t>
  </si>
  <si>
    <t>oc-JUMP-AEP-NPR</t>
  </si>
  <si>
    <t>JUMP AEP NON PROD</t>
  </si>
  <si>
    <t>oc-JUMP-CLV-NPR</t>
  </si>
  <si>
    <t>JUMP CLV NON PROD</t>
  </si>
  <si>
    <t>ac002i000461</t>
  </si>
  <si>
    <t>oc002i001021</t>
  </si>
  <si>
    <t>PREZ-I GIE PROD</t>
  </si>
  <si>
    <t>ac002i000442</t>
  </si>
  <si>
    <t>oc002i001016</t>
  </si>
  <si>
    <t>PREZ-I GIE HORS-PROD</t>
  </si>
  <si>
    <t>ku002i000249</t>
  </si>
  <si>
    <t>Mutualise</t>
  </si>
  <si>
    <t>ku002i000246</t>
  </si>
  <si>
    <t>ku002i000510</t>
  </si>
  <si>
    <t>PREZ-i</t>
  </si>
  <si>
    <t>ku002i000565</t>
  </si>
  <si>
    <t>ku002i000829</t>
  </si>
  <si>
    <t>JUMP AEP</t>
  </si>
  <si>
    <t>ku002i000908</t>
  </si>
  <si>
    <t>JUMP CLV</t>
  </si>
  <si>
    <t>ku002i001021</t>
  </si>
  <si>
    <t>ku002i001071</t>
  </si>
  <si>
    <t>oc-LATAM-NOS-PRD</t>
  </si>
  <si>
    <t>LATAM NO-SEC PROD</t>
  </si>
  <si>
    <t>oc-ITALY-SEC-PRD</t>
  </si>
  <si>
    <t>Italy Secret Prod</t>
  </si>
  <si>
    <t>ku002i001098</t>
  </si>
  <si>
    <t>Italy HORS-PROD</t>
  </si>
  <si>
    <t>Le CPU/RAM alloué migration reprend désormais la cible ROKS avec marge (et non plus le P95 brut), et le total projeté additionne la charge existante hors migration. Le statut Cluster sans capacité provisionnée signale un cluster qui reçoit une allocation sans worker ni flavor défini, à provisionner avant la migration. Les colonnes W à Z (famille de flavor) sont repliées par défaut sous le petit "+" : à consulter uniquement quand vous cherchez à savoir si un cluster peut encore monter en gamme de flavor.</t>
  </si>
  <si>
    <t>Règles de sélection automatique du cluster ROKS</t>
  </si>
  <si>
    <t>Reprend l'arbre de décision, secret, RGPD-région, isolement, volume. Chaque combinaison pointe vers un cluster de Clusters_ROKS</t>
  </si>
  <si>
    <t>Certaines combinaisons n'ont pas de cluster identifié avec certitude dans le registre transcrit (cellules à confirmer, fond orange), à trancher avec le référent DMZR. La colonne Cluster de repli est optionnelle : tant que le cluster principal a de la place (moins de 66% CPU/RAM et moins de 12 workers), Inventaire continue de l'utiliser, au delà il bascule automatiquement sur le repli s'il est renseigné.</t>
  </si>
  <si>
    <t>Region / Perimetre</t>
  </si>
  <si>
    <t>Donnees secretes O/N</t>
  </si>
  <si>
    <t>Cluster ROKS cible principal</t>
  </si>
  <si>
    <t>Cluster de repli optionnel</t>
  </si>
  <si>
    <t>Cle de selection</t>
  </si>
  <si>
    <t>Principal trouve</t>
  </si>
  <si>
    <t>Repli trouve</t>
  </si>
  <si>
    <t>GIE France</t>
  </si>
  <si>
    <t>N</t>
  </si>
  <si>
    <t>O</t>
  </si>
  <si>
    <t>Italy</t>
  </si>
  <si>
    <t>A confirmer</t>
  </si>
  <si>
    <t>LATAM</t>
  </si>
  <si>
    <t>EMEA</t>
  </si>
  <si>
    <t>PREZ-I GIE</t>
  </si>
  <si>
    <t>Mutualise Standard DMZR</t>
  </si>
  <si>
    <t>La colonne Clé concatène Région, Secret et Environnement, c'est cette clé que l'Inventaire recherche pour déterminer automatiquement le cluster cible de chaque application. Ajoutez une ligne pour toute nouvelle combinaison, et un cluster de repli dès qu'une alternative existe.</t>
  </si>
  <si>
    <t>Inventaire du périmètre de migration</t>
  </si>
  <si>
    <t>Colonnes bleues (A à N) à remplir ; le reste (jusqu'à V) se calcule seul</t>
  </si>
  <si>
    <t>Pour ajouter une application, remplissez les colonnes bleues A à N (cliquez sous la dernière ligne du tableau). Les colonnes O à V se calculent seules. Le détail du calcul (comment le cluster est choisi) est replié à droite sous le petit "+" au-dessus de la colonne W : cliquez dessus si vous voulez l'auditer, sinon ignorez-le complètement.</t>
  </si>
  <si>
    <t>Namespace</t>
  </si>
  <si>
    <t>Cluster IKS source</t>
  </si>
  <si>
    <t>Compte NPR/PRD</t>
  </si>
  <si>
    <t>Contrainte RGPD/compliance forte O/N</t>
  </si>
  <si>
    <t>Isolement fort requis O/N</t>
  </si>
  <si>
    <t>Volume important de ressources O/N</t>
  </si>
  <si>
    <t>Nombre de replicas du service</t>
  </si>
  <si>
    <t>Mois de bascule prevu</t>
  </si>
  <si>
    <t>Duree double run (mois)</t>
  </si>
  <si>
    <t>Inclus projection O/N</t>
  </si>
  <si>
    <t>Cluster ROKS cible (auto)</t>
  </si>
  <si>
    <t>Type de cluster (Mutualise/Dedie)</t>
  </si>
  <si>
    <t>CPU reel p95 par replica (cores)</t>
  </si>
  <si>
    <t>RAM reelle p95 par replica (Go)</t>
  </si>
  <si>
    <t>CPU cible ROKS</t>
  </si>
  <si>
    <t>RAM cible ROKS</t>
  </si>
  <si>
    <t>Date arret IKS calculee</t>
  </si>
  <si>
    <t>Statut affectation cluster</t>
  </si>
  <si>
    <t>Environnement deduit</t>
  </si>
  <si>
    <t>Region effective deduite</t>
  </si>
  <si>
    <t>Cle de selection deduite</t>
  </si>
  <si>
    <t>Type du cluster cible (controle)</t>
  </si>
  <si>
    <t>Coherence type / cluster</t>
  </si>
  <si>
    <t>Cluster principal candidat</t>
  </si>
  <si>
    <t>Cluster de repli candidat</t>
  </si>
  <si>
    <t>CPU deja engage principal (avant cette date)</t>
  </si>
  <si>
    <t>RAM deja engagee principal (avant cette date)</t>
  </si>
  <si>
    <t>CPU max du principal</t>
  </si>
  <si>
    <t>RAM max du principal</t>
  </si>
  <si>
    <t>Workers du principal</t>
  </si>
  <si>
    <t>Principal disponible pour cette appli</t>
  </si>
  <si>
    <t>CPU deja engage repli (avant cette date)</t>
  </si>
  <si>
    <t>RAM deja engagee repli (avant cette date)</t>
  </si>
  <si>
    <t>CPU max du repli</t>
  </si>
  <si>
    <t>RAM max du repli</t>
  </si>
  <si>
    <t>Workers du repli</t>
  </si>
  <si>
    <t>Repli disponible pour cette appli</t>
  </si>
  <si>
    <t>ns-app01</t>
  </si>
  <si>
    <t>iks-prod-01</t>
  </si>
  <si>
    <t>a migrer</t>
  </si>
  <si>
    <t>PRD</t>
  </si>
  <si>
    <t>ns-app02</t>
  </si>
  <si>
    <t>ns-app03</t>
  </si>
  <si>
    <t>iks-prod-02</t>
  </si>
  <si>
    <t>ns-app04</t>
  </si>
  <si>
    <t>iks-npr-01</t>
  </si>
  <si>
    <t>NPR</t>
  </si>
  <si>
    <t>ns-app05</t>
  </si>
  <si>
    <t>ns-app06</t>
  </si>
  <si>
    <t>ns-app07</t>
  </si>
  <si>
    <t>iks-prod-03</t>
  </si>
  <si>
    <t>ns-app08</t>
  </si>
  <si>
    <t>iks-npr-02</t>
  </si>
  <si>
    <t>ns-app09</t>
  </si>
  <si>
    <t>migre</t>
  </si>
  <si>
    <t>ns-app10</t>
  </si>
  <si>
    <t>Le CPU/RAM cible additionne tous les replicas du service : (P95 par replica x coefficient, arrondi) x nombre de replicas. Le cluster ROKS cible se déduit automatiquement de la région, des données secrètes et de l'environnement (l'isolement fort et le volume important priment et orientent vers Jump CLV / Jump AEP). Tant que le cluster principal a de la place, il continue d'être choisi ; au delà, la sélection bascule sur le cluster de repli si disponible. La colonne Statut résume tout en une phrase. Le détail du calcul est dans le bloc replié à droite.</t>
  </si>
  <si>
    <t>Capacity planning, mois par mois et cluster par cluster</t>
  </si>
  <si>
    <t>Charge existante + migrations cumulées, taux d'occupation et workers à commander en plus, par cluster et par mois</t>
  </si>
  <si>
    <t>Mois</t>
  </si>
  <si>
    <t>Type</t>
  </si>
  <si>
    <t>Charge existante CPU</t>
  </si>
  <si>
    <t>Charge existante RAM</t>
  </si>
  <si>
    <t>Nouvelles migrations CPU cumulees</t>
  </si>
  <si>
    <t>Nouvelles migrations RAM cumulees</t>
  </si>
  <si>
    <t>Charge projetee CPU</t>
  </si>
  <si>
    <t>Charge projetee RAM</t>
  </si>
  <si>
    <t>Capacite CPU a ajouter</t>
  </si>
  <si>
    <t>Capacite RAM a ajouter</t>
  </si>
  <si>
    <t>Workers supplementaires necessaires</t>
  </si>
  <si>
    <t>Une ligne par cluster et par mois. La charge projetée additionne ce qui existe déjà hors migration et le cumul des applications migrées jusqu'à ce mois-là. Les workers supplémentaires nécessaires supposent qu'on agrandit le cluster avec sa flavor actuelle, à ajuster si vous changez de flavor.</t>
  </si>
  <si>
    <t>Consolidation mensuelle, coût IKS, coût ROKS et vrai surcoût du double run</t>
  </si>
  <si>
    <t>Le double run ne compte que la charge qui existe réellement des deux côtés au même moment</t>
  </si>
  <si>
    <t>Fin de mois</t>
  </si>
  <si>
    <t>CPU actif sur ROKS</t>
  </si>
  <si>
    <t>RAM active sur ROKS</t>
  </si>
  <si>
    <t>CPU encore necessaire sur IKS</t>
  </si>
  <si>
    <t>RAM encore necessaire sur IKS</t>
  </si>
  <si>
    <t>CPU en double run (redondant)</t>
  </si>
  <si>
    <t>RAM en double run (redondant)</t>
  </si>
  <si>
    <t>Cout ROKS (EUR/mois)</t>
  </si>
  <si>
    <t>Cout IKS (EUR/mois)</t>
  </si>
  <si>
    <t>Cout total (EUR/mois)</t>
  </si>
  <si>
    <t>Surcout double run (EUR/mois)</t>
  </si>
  <si>
    <t>Total periode</t>
  </si>
  <si>
    <t>Le surcoût double run isole désormais la charge qui existe réellement des deux côtés au même moment (l'application a déjà basculé sur ROKS mais son IKS n'est pas encore arrêté), pas le coût total pendant la période de coexistence.</t>
  </si>
  <si>
    <t>Dashboard, budget migration IKS vers ROKS</t>
  </si>
  <si>
    <t>Se met à jour automatiquement depuis Consolidation_Mensuelle et Projection_Clusters</t>
  </si>
  <si>
    <t>5 indicateurs clés</t>
  </si>
  <si>
    <t>Coût IKS initial (EUR/mois, tout le périmètre sur IKS)</t>
  </si>
  <si>
    <t>Coût ROKS cible (EUR/mois, tout le périmètre migré)</t>
  </si>
  <si>
    <t>Coût total de la migration (EUR, cumulé sur toute la période)</t>
  </si>
  <si>
    <t>Vrai surcoût du double run (EUR, cumulé)</t>
  </si>
  <si>
    <t>Nombre de clusters necessitant une extension de capacite</t>
  </si>
  <si>
    <t>Cout ROKS (EUR)</t>
  </si>
  <si>
    <t>Cout IKS (EUR)</t>
  </si>
  <si>
    <t>Surcout double run (EUR)</t>
  </si>
  <si>
    <t>Cout total (EUR)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</si>
</sst>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0\ \€\);\-"/>
    <numFmt numFmtId="165" formatCode="#,##0;\(#,##0\);\-"/>
  </numFmts>
  <fonts count="13" x14ac:knownFonts="1">
    <font>
      <sz val="11"/>
      <color theme="1"/>
      <name val="Calibri"/>
      <family val="2"/>
      <scheme val="minor"/>
    </font>
    <font>
      <b/>
      <sz val="14"/>
      <color rgb="FF1F4E78"/>
      <name val="Arial"/>
      <family val="2"/>
    </font>
    <font>
      <i/>
      <sz val="9"/>
      <color rgb="FF666666"/>
      <name val="Arial"/>
      <family val="2"/>
    </font>
    <font>
      <b/>
      <sz val="10"/>
      <name val="Arial"/>
      <family val="2"/>
    </font>
    <font>
      <b/>
      <sz val="10"/>
      <color rgb="FFFFFFFF"/>
      <name val="Arial"/>
      <family val="2"/>
    </font>
    <font>
      <sz val="10"/>
      <name val="Arial"/>
      <family val="2"/>
    </font>
    <font>
      <i/>
      <sz val="9"/>
      <color rgb="FF808080"/>
      <name val="Arial"/>
      <family val="2"/>
    </font>
    <font>
      <sz val="10"/>
      <color rgb="FF0000FF"/>
      <name val="Arial"/>
      <family val="2"/>
    </font>
    <font>
      <sz val="10"/>
      <color rgb="FF000000"/>
      <name val="Arial"/>
      <family val="2"/>
    </font>
    <font>
      <sz val="10"/>
      <color rgb="FF008000"/>
      <name val="Arial"/>
      <family val="2"/>
    </font>
    <font>
      <sz val="10"/>
      <color rgb="FF9C0006"/>
      <name val="Arial"/>
      <family val="2"/>
    </font>
    <font>
      <i/>
      <sz val="9"/>
      <color rgb="FF9C0006"/>
      <name val="Arial"/>
      <family val="2"/>
    </font>
    <font>
      <sz val="9"/>
      <name val="Arial"/>
      <family val="2"/>
    </font>
  </fonts>
  <fills count="9">
    <fill>
      <patternFill patternType="none"/>
    </fill>
    <fill>
      <patternFill patternType="gray125"/>
    </fill>
    <fill>
      <patternFill patternType="solid">
        <fgColor rgb="FF1F4E78"/>
      </patternFill>
    </fill>
    <fill>
      <patternFill patternType="solid">
        <fgColor rgb="FFFFFF00"/>
      </patternFill>
    </fill>
    <fill>
      <patternFill patternType="solid">
        <fgColor rgb="FFFCE4D6"/>
      </patternFill>
    </fill>
    <fill>
      <patternFill patternType="solid">
        <fgColor rgb="FFFFC7CE"/>
      </patternFill>
    </fill>
    <fill>
      <patternFill patternType="solid">
        <fgColor rgb="FFFFF2CC"/>
      </patternFill>
    </fill>
    <fill>
      <patternFill patternType="solid">
        <fgColor rgb="FF595959"/>
      </patternFill>
    </fill>
    <fill>
      <patternFill patternType="solid">
        <fgColor rgb="FFD9E1F2"/>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4" fillId="2" borderId="1" xfId="0" applyFont="1" applyFill="1" applyBorder="1" applyAlignment="1">
      <alignment vertical="top" wrapText="1"/>
    </xf>
    <xf numFmtId="0" fontId="5" fillId="0" borderId="1" xfId="0" applyFont="1" applyBorder="1" applyAlignment="1">
      <alignment vertical="top" wrapText="1"/>
    </xf>
    <xf numFmtId="0" fontId="3" fillId="0" borderId="0" xfId="0" applyFont="1"/>
    <xf numFmtId="0" fontId="5" fillId="0" borderId="0" xfId="0" applyFont="1" applyAlignment="1">
      <alignment wrapText="1"/>
    </xf>
    <xf numFmtId="0" fontId="7" fillId="0" borderId="0" xfId="0" applyFont="1"/>
    <xf numFmtId="0" fontId="8" fillId="0" borderId="0" xfId="0" applyFont="1"/>
    <xf numFmtId="0" fontId="9" fillId="0" borderId="0" xfId="0" applyFont="1"/>
    <xf numFmtId="0" fontId="0" fillId="3" borderId="0" xfId="0" applyFill="1"/>
    <xf numFmtId="0" fontId="0" fillId="4" borderId="0" xfId="0" applyFill="1"/>
    <xf numFmtId="0" fontId="10" fillId="5" borderId="0" xfId="0" applyFont="1" applyFill="1"/>
    <xf numFmtId="0" fontId="0" fillId="6" borderId="0" xfId="0" applyFill="1"/>
    <xf numFmtId="0" fontId="4" fillId="7" borderId="0" xfId="0" applyFont="1" applyFill="1"/>
    <xf numFmtId="0" fontId="4" fillId="2" borderId="1" xfId="0" applyFont="1" applyFill="1" applyBorder="1" applyAlignment="1">
      <alignment horizontal="center" vertical="center" wrapText="1"/>
    </xf>
    <xf numFmtId="0" fontId="7" fillId="0" borderId="1" xfId="0" applyFont="1" applyBorder="1"/>
    <xf numFmtId="165" fontId="7" fillId="0" borderId="1" xfId="0" applyNumberFormat="1" applyFont="1" applyBorder="1"/>
    <xf numFmtId="0" fontId="6" fillId="0" borderId="0" xfId="0" applyFont="1"/>
    <xf numFmtId="164" fontId="7" fillId="3" borderId="1" xfId="0" applyNumberFormat="1" applyFont="1" applyFill="1" applyBorder="1"/>
    <xf numFmtId="2" fontId="7" fillId="3" borderId="0" xfId="0" applyNumberFormat="1" applyFont="1" applyFill="1"/>
    <xf numFmtId="0" fontId="8" fillId="0" borderId="1" xfId="0" applyFont="1" applyBorder="1"/>
    <xf numFmtId="0" fontId="8" fillId="0" borderId="1" xfId="0" applyFont="1" applyBorder="1" applyAlignment="1">
      <alignment horizontal="center"/>
    </xf>
    <xf numFmtId="165" fontId="7" fillId="3" borderId="1" xfId="0" applyNumberFormat="1" applyFont="1" applyFill="1" applyBorder="1"/>
    <xf numFmtId="165" fontId="9" fillId="0" borderId="1" xfId="0" applyNumberFormat="1" applyFont="1" applyBorder="1"/>
    <xf numFmtId="165" fontId="8" fillId="0" borderId="1" xfId="0" applyNumberFormat="1" applyFont="1" applyBorder="1"/>
    <xf numFmtId="9" fontId="8" fillId="0" borderId="1" xfId="0" applyNumberFormat="1" applyFont="1" applyBorder="1"/>
    <xf numFmtId="0" fontId="9" fillId="0" borderId="1" xfId="0" applyFont="1" applyBorder="1" applyAlignment="1">
      <alignment horizontal="center"/>
    </xf>
    <xf numFmtId="0" fontId="9" fillId="0" borderId="1" xfId="0" applyFont="1" applyBorder="1"/>
    <xf numFmtId="0" fontId="12" fillId="8" borderId="0" xfId="0" applyFont="1" applyFill="1"/>
    <xf numFmtId="9" fontId="7" fillId="3" borderId="0" xfId="0" applyNumberFormat="1" applyFont="1" applyFill="1"/>
    <xf numFmtId="165" fontId="7" fillId="3" borderId="0" xfId="0" applyNumberFormat="1" applyFont="1" applyFill="1"/>
    <xf numFmtId="0" fontId="7" fillId="4" borderId="1" xfId="0" applyFont="1" applyFill="1" applyBorder="1"/>
    <xf numFmtId="165" fontId="7" fillId="4" borderId="1" xfId="0" applyNumberFormat="1" applyFont="1" applyFill="1" applyBorder="1"/>
    <xf numFmtId="0" fontId="4" fillId="7" borderId="1" xfId="0" applyFont="1" applyFill="1" applyBorder="1" applyAlignment="1">
      <alignment horizontal="center" vertical="center" wrapText="1"/>
    </xf>
    <xf numFmtId="14" fontId="7" fillId="0" borderId="1" xfId="0" applyNumberFormat="1" applyFont="1" applyBorder="1"/>
    <xf numFmtId="0" fontId="7" fillId="0" borderId="1" xfId="0" applyFont="1" applyBorder="1" applyAlignment="1">
      <alignment horizontal="center"/>
    </xf>
    <xf numFmtId="14" fontId="8" fillId="0" borderId="1" xfId="0" applyNumberFormat="1" applyFont="1" applyBorder="1"/>
    <xf numFmtId="17" fontId="8" fillId="0" borderId="1" xfId="0" applyNumberFormat="1" applyFont="1" applyBorder="1"/>
    <xf numFmtId="17" fontId="7" fillId="0" borderId="1" xfId="0" applyNumberFormat="1" applyFont="1" applyBorder="1"/>
    <xf numFmtId="164" fontId="9" fillId="0" borderId="1" xfId="0" applyNumberFormat="1" applyFont="1" applyBorder="1"/>
    <xf numFmtId="164" fontId="8" fillId="0" borderId="1" xfId="0" applyNumberFormat="1" applyFont="1" applyBorder="1"/>
    <xf numFmtId="164" fontId="3" fillId="8" borderId="0" xfId="0" applyNumberFormat="1" applyFont="1" applyFill="1"/>
    <xf numFmtId="164" fontId="9" fillId="8" borderId="1" xfId="0" applyNumberFormat="1" applyFont="1" applyFill="1" applyBorder="1"/>
    <xf numFmtId="165" fontId="9" fillId="8" borderId="1" xfId="0" applyNumberFormat="1" applyFont="1" applyFill="1" applyBorder="1"/>
    <xf numFmtId="17" fontId="9" fillId="0" borderId="1" xfId="0" applyNumberFormat="1" applyFont="1" applyBorder="1"/>
    <xf numFmtId="0" fontId="5" fillId="0" borderId="0" xfId="0" applyFont="1" applyAlignment="1">
      <alignment wrapText="1"/>
    </xf>
    <xf numFmtId="0" fontId="0" fillId="0" borderId="0" xfId="0"/>
    <xf numFmtId="0" fontId="6" fillId="0" borderId="0" xfId="0" applyFont="1" applyAlignment="1">
      <alignment wrapText="1"/>
    </xf>
    <xf numFmtId="0" fontId="11" fillId="0" borderId="0" xfId="0" applyFont="1" applyAlignment="1">
      <alignment wrapText="1"/>
    </xf>
    <xf numFmtId="0" fontId="3" fillId="0" borderId="0" xfId="0" applyFont="1"/>
    <xf numFmtId="0" fontId="5" fillId="0" borderId="1" xfId="0" applyFont="1" applyBorder="1" applyAlignment="1">
      <alignment wrapText="1"/>
    </xf>
    <xf numFmtId="0" fontId="0" fillId="0" borderId="2" xfId="0" applyBorder="1"/>
    <xf numFmtId="0" fontId="0" fillId="0" borderId="3" xfId="0" applyBorder="1"/>
  </cellXfs>
  <cellStyles count="1">
    <cellStyle name="Normal" xfId="0" builtinId="0"/>
  </cellStyles>
  <dxfs count="7">
    <dxf>
      <font>
        <sz val="10"/>
        <color rgb="FF9C0006"/>
        <name val="Arial"/>
      </font>
      <fill>
        <patternFill patternType="solid">
          <fgColor rgb="FFFFC7CE"/>
        </patternFill>
      </fill>
    </dxf>
    <dxf>
      <fill>
        <patternFill patternType="solid">
          <fgColor rgb="FFFFF2CC"/>
        </patternFill>
      </fill>
    </dxf>
    <dxf>
      <font>
        <sz val="10"/>
        <color rgb="FF9C0006"/>
        <name val="Arial"/>
      </font>
      <fill>
        <patternFill patternType="solid">
          <fgColor rgb="FFFFC7CE"/>
        </patternFill>
      </fill>
    </dxf>
    <dxf>
      <font>
        <sz val="10"/>
        <color rgb="FF9C0006"/>
        <name val="Arial"/>
      </font>
      <fill>
        <patternFill patternType="solid">
          <fgColor rgb="FFFFC7CE"/>
        </patternFill>
      </fill>
    </dxf>
    <dxf>
      <font>
        <sz val="10"/>
        <color rgb="FF9C0006"/>
        <name val="Arial"/>
      </font>
      <fill>
        <patternFill patternType="solid">
          <fgColor rgb="FFFCE4D6"/>
        </patternFill>
      </fill>
    </dxf>
    <dxf>
      <font>
        <sz val="10"/>
        <color rgb="FF9C0006"/>
        <name val="Arial"/>
      </font>
      <fill>
        <patternFill patternType="solid">
          <fgColor rgb="FFFFC7CE"/>
        </patternFill>
      </fill>
    </dxf>
    <dxf>
      <font>
        <sz val="10"/>
        <color rgb="FF9C0006"/>
        <name val="Arial"/>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10"/>
  <c:chart>
    <c:title>
      <c:tx>
        <c:rich>
          <a:bodyPr/>
          <a:lstStyle/>
          <a:p>
            <a:pPr>
              <a:defRPr/>
            </a:pPr>
            <a:r>
              <a:t>Coût mensuel, ROKS qui monte, IKS qui descend</a:t>
            </a:r>
          </a:p>
        </c:rich>
      </c:tx>
      <c:overlay val="1"/>
    </c:title>
    <c:autoTitleDeleted val="0"/>
    <c:plotArea>
      <c:layout/>
      <c:lineChart>
        <c:grouping val="standard"/>
        <c:varyColors val="1"/>
        <c:ser>
          <c:idx val="0"/>
          <c:order val="0"/>
          <c:tx>
            <c:strRef>
              <c:f>Dashboard!$B$12</c:f>
              <c:strCache>
                <c:ptCount val="1"/>
                <c:pt idx="0">
                  <c:v>Cout ROKS (EUR)</c:v>
                </c:pt>
              </c:strCache>
            </c:strRef>
          </c:tx>
          <c:spPr>
            <a:ln>
              <a:prstDash val="solid"/>
            </a:ln>
          </c:spPr>
          <c:marker>
            <c:symbol val="none"/>
          </c:marker>
          <c:cat>
            <c:numRef>
              <c:f>Dashboard!$A$13:$A$24</c:f>
              <c:numCache>
                <c:formatCode>mmm\-yy</c:formatCode>
                <c:ptCount val="12"/>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numCache>
            </c:numRef>
          </c:cat>
          <c:val>
            <c:numRef>
              <c:f>Dashboard!$B$13:$B$24</c:f>
              <c:numCache>
                <c:formatCode>#\ ##0\ \€;\(#\ ##0\ \€\);\-</c:formatCode>
                <c:ptCount val="12"/>
                <c:pt idx="0">
                  <c:v>1377</c:v>
                </c:pt>
                <c:pt idx="1">
                  <c:v>1932</c:v>
                </c:pt>
                <c:pt idx="2">
                  <c:v>3246</c:v>
                </c:pt>
                <c:pt idx="3">
                  <c:v>4593</c:v>
                </c:pt>
                <c:pt idx="4">
                  <c:v>6681</c:v>
                </c:pt>
                <c:pt idx="5">
                  <c:v>7261</c:v>
                </c:pt>
                <c:pt idx="6">
                  <c:v>7261</c:v>
                </c:pt>
                <c:pt idx="7">
                  <c:v>7261</c:v>
                </c:pt>
                <c:pt idx="8">
                  <c:v>7261</c:v>
                </c:pt>
                <c:pt idx="9">
                  <c:v>7261</c:v>
                </c:pt>
                <c:pt idx="10">
                  <c:v>7261</c:v>
                </c:pt>
                <c:pt idx="11">
                  <c:v>7261</c:v>
                </c:pt>
              </c:numCache>
            </c:numRef>
          </c:val>
          <c:smooth val="1"/>
          <c:extLst>
            <c:ext xmlns:c16="http://schemas.microsoft.com/office/drawing/2014/chart" uri="{C3380CC4-5D6E-409C-BE32-E72D297353CC}">
              <c16:uniqueId val="{00000000-18F2-9341-82E3-2D63DD9167C0}"/>
            </c:ext>
          </c:extLst>
        </c:ser>
        <c:ser>
          <c:idx val="1"/>
          <c:order val="1"/>
          <c:tx>
            <c:strRef>
              <c:f>Dashboard!$C$12</c:f>
              <c:strCache>
                <c:ptCount val="1"/>
                <c:pt idx="0">
                  <c:v>Cout IKS (EUR)</c:v>
                </c:pt>
              </c:strCache>
            </c:strRef>
          </c:tx>
          <c:spPr>
            <a:ln>
              <a:prstDash val="solid"/>
            </a:ln>
          </c:spPr>
          <c:marker>
            <c:symbol val="none"/>
          </c:marker>
          <c:cat>
            <c:numRef>
              <c:f>Dashboard!$A$13:$A$24</c:f>
              <c:numCache>
                <c:formatCode>mmm\-yy</c:formatCode>
                <c:ptCount val="12"/>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numCache>
            </c:numRef>
          </c:cat>
          <c:val>
            <c:numRef>
              <c:f>Dashboard!$C$13:$C$24</c:f>
              <c:numCache>
                <c:formatCode>#\ ##0\ \€;\(#\ ##0\ \€\);\-</c:formatCode>
                <c:ptCount val="12"/>
                <c:pt idx="0">
                  <c:v>7809</c:v>
                </c:pt>
                <c:pt idx="1">
                  <c:v>6999</c:v>
                </c:pt>
                <c:pt idx="2">
                  <c:v>6339</c:v>
                </c:pt>
                <c:pt idx="3">
                  <c:v>4776</c:v>
                </c:pt>
                <c:pt idx="4">
                  <c:v>3174</c:v>
                </c:pt>
                <c:pt idx="5">
                  <c:v>3174</c:v>
                </c:pt>
                <c:pt idx="6">
                  <c:v>0</c:v>
                </c:pt>
                <c:pt idx="7">
                  <c:v>0</c:v>
                </c:pt>
                <c:pt idx="8">
                  <c:v>0</c:v>
                </c:pt>
                <c:pt idx="9">
                  <c:v>0</c:v>
                </c:pt>
                <c:pt idx="10">
                  <c:v>0</c:v>
                </c:pt>
                <c:pt idx="11">
                  <c:v>0</c:v>
                </c:pt>
              </c:numCache>
            </c:numRef>
          </c:val>
          <c:smooth val="1"/>
          <c:extLst>
            <c:ext xmlns:c16="http://schemas.microsoft.com/office/drawing/2014/chart" uri="{C3380CC4-5D6E-409C-BE32-E72D297353CC}">
              <c16:uniqueId val="{00000001-18F2-9341-82E3-2D63DD9167C0}"/>
            </c:ext>
          </c:extLst>
        </c:ser>
        <c:ser>
          <c:idx val="2"/>
          <c:order val="2"/>
          <c:tx>
            <c:strRef>
              <c:f>Dashboard!$D$12</c:f>
              <c:strCache>
                <c:ptCount val="1"/>
                <c:pt idx="0">
                  <c:v>Surcout double run (EUR)</c:v>
                </c:pt>
              </c:strCache>
            </c:strRef>
          </c:tx>
          <c:spPr>
            <a:ln>
              <a:prstDash val="solid"/>
            </a:ln>
          </c:spPr>
          <c:marker>
            <c:symbol val="none"/>
          </c:marker>
          <c:cat>
            <c:numRef>
              <c:f>Dashboard!$A$13:$A$24</c:f>
              <c:numCache>
                <c:formatCode>mmm\-yy</c:formatCode>
                <c:ptCount val="12"/>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numCache>
            </c:numRef>
          </c:cat>
          <c:val>
            <c:numRef>
              <c:f>Dashboard!$D$13:$D$24</c:f>
              <c:numCache>
                <c:formatCode>#\ ##0\ \€;\(#\ ##0\ \€\);\-</c:formatCode>
                <c:ptCount val="12"/>
                <c:pt idx="0">
                  <c:v>810</c:v>
                </c:pt>
                <c:pt idx="1">
                  <c:v>660</c:v>
                </c:pt>
                <c:pt idx="2">
                  <c:v>1563</c:v>
                </c:pt>
                <c:pt idx="3">
                  <c:v>1602</c:v>
                </c:pt>
                <c:pt idx="4">
                  <c:v>2484</c:v>
                </c:pt>
                <c:pt idx="5">
                  <c:v>3174</c:v>
                </c:pt>
                <c:pt idx="6">
                  <c:v>0</c:v>
                </c:pt>
                <c:pt idx="7">
                  <c:v>0</c:v>
                </c:pt>
                <c:pt idx="8">
                  <c:v>0</c:v>
                </c:pt>
                <c:pt idx="9">
                  <c:v>0</c:v>
                </c:pt>
                <c:pt idx="10">
                  <c:v>0</c:v>
                </c:pt>
                <c:pt idx="11">
                  <c:v>0</c:v>
                </c:pt>
              </c:numCache>
            </c:numRef>
          </c:val>
          <c:smooth val="1"/>
          <c:extLst>
            <c:ext xmlns:c16="http://schemas.microsoft.com/office/drawing/2014/chart" uri="{C3380CC4-5D6E-409C-BE32-E72D297353CC}">
              <c16:uniqueId val="{00000002-18F2-9341-82E3-2D63DD9167C0}"/>
            </c:ext>
          </c:extLst>
        </c:ser>
        <c:ser>
          <c:idx val="3"/>
          <c:order val="3"/>
          <c:tx>
            <c:strRef>
              <c:f>Dashboard!$E$12</c:f>
              <c:strCache>
                <c:ptCount val="1"/>
                <c:pt idx="0">
                  <c:v>Cout total (EUR)</c:v>
                </c:pt>
              </c:strCache>
            </c:strRef>
          </c:tx>
          <c:spPr>
            <a:ln>
              <a:prstDash val="solid"/>
            </a:ln>
          </c:spPr>
          <c:marker>
            <c:symbol val="none"/>
          </c:marker>
          <c:cat>
            <c:numRef>
              <c:f>Dashboard!$A$13:$A$24</c:f>
              <c:numCache>
                <c:formatCode>mmm\-yy</c:formatCode>
                <c:ptCount val="12"/>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numCache>
            </c:numRef>
          </c:cat>
          <c:val>
            <c:numRef>
              <c:f>Dashboard!$E$13:$E$24</c:f>
              <c:numCache>
                <c:formatCode>#\ ##0\ \€;\(#\ ##0\ \€\);\-</c:formatCode>
                <c:ptCount val="12"/>
                <c:pt idx="0">
                  <c:v>9186</c:v>
                </c:pt>
                <c:pt idx="1">
                  <c:v>8931</c:v>
                </c:pt>
                <c:pt idx="2">
                  <c:v>9585</c:v>
                </c:pt>
                <c:pt idx="3">
                  <c:v>9369</c:v>
                </c:pt>
                <c:pt idx="4">
                  <c:v>9855</c:v>
                </c:pt>
                <c:pt idx="5">
                  <c:v>10435</c:v>
                </c:pt>
                <c:pt idx="6">
                  <c:v>7261</c:v>
                </c:pt>
                <c:pt idx="7">
                  <c:v>7261</c:v>
                </c:pt>
                <c:pt idx="8">
                  <c:v>7261</c:v>
                </c:pt>
                <c:pt idx="9">
                  <c:v>7261</c:v>
                </c:pt>
                <c:pt idx="10">
                  <c:v>7261</c:v>
                </c:pt>
                <c:pt idx="11">
                  <c:v>7261</c:v>
                </c:pt>
              </c:numCache>
            </c:numRef>
          </c:val>
          <c:smooth val="1"/>
          <c:extLst>
            <c:ext xmlns:c16="http://schemas.microsoft.com/office/drawing/2014/chart" uri="{C3380CC4-5D6E-409C-BE32-E72D297353CC}">
              <c16:uniqueId val="{00000003-18F2-9341-82E3-2D63DD9167C0}"/>
            </c:ext>
          </c:extLst>
        </c:ser>
        <c:dLbls>
          <c:showLegendKey val="0"/>
          <c:showVal val="0"/>
          <c:showCatName val="0"/>
          <c:showSerName val="0"/>
          <c:showPercent val="0"/>
          <c:showBubbleSize val="0"/>
        </c:dLbls>
        <c:smooth val="0"/>
        <c:axId val="10"/>
        <c:axId val="100"/>
      </c:lineChart>
      <c:dateAx>
        <c:axId val="10"/>
        <c:scaling>
          <c:orientation val="minMax"/>
        </c:scaling>
        <c:delete val="1"/>
        <c:axPos val="b"/>
        <c:title>
          <c:tx>
            <c:rich>
              <a:bodyPr/>
              <a:lstStyle/>
              <a:p>
                <a:pPr>
                  <a:defRPr/>
                </a:pPr>
                <a:r>
                  <a:t>Mois</a:t>
                </a:r>
              </a:p>
            </c:rich>
          </c:tx>
          <c:overlay val="1"/>
        </c:title>
        <c:numFmt formatCode="mmm\-yy" sourceLinked="1"/>
        <c:majorTickMark val="none"/>
        <c:minorTickMark val="none"/>
        <c:tickLblPos val="nextTo"/>
        <c:crossAx val="100"/>
        <c:crosses val="autoZero"/>
        <c:auto val="1"/>
        <c:lblOffset val="100"/>
        <c:baseTimeUnit val="months"/>
      </c:dateAx>
      <c:valAx>
        <c:axId val="100"/>
        <c:scaling>
          <c:orientation val="minMax"/>
        </c:scaling>
        <c:delete val="1"/>
        <c:axPos val="l"/>
        <c:majorGridlines/>
        <c:title>
          <c:tx>
            <c:rich>
              <a:bodyPr/>
              <a:lstStyle/>
              <a:p>
                <a:pPr>
                  <a:defRPr/>
                </a:pPr>
                <a:r>
                  <a:t>EUR / mois</a:t>
                </a:r>
              </a:p>
            </c:rich>
          </c:tx>
          <c:overlay val="1"/>
        </c:title>
        <c:numFmt formatCode="#\ ##0\ \€;\(#\ ##0\ \€\);\-"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26</xdr:row>
      <xdr:rowOff>0</xdr:rowOff>
    </xdr:from>
    <xdr:ext cx="8640000" cy="36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ynatrace" displayName="tblDynatrace" ref="A4:C14">
  <autoFilter ref="A4:C14" xr:uid="{00000000-0009-0000-0100-000001000000}"/>
  <tableColumns count="3">
    <tableColumn id="1" xr3:uid="{00000000-0010-0000-0000-000001000000}" name="Application"/>
    <tableColumn id="2" xr3:uid="{00000000-0010-0000-0000-000002000000}" name="CPU reel p95 (cores)"/>
    <tableColumn id="3" xr3:uid="{00000000-0010-0000-0000-000003000000}" name="RAM reelle p95 (Go)"/>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TarifsABS" displayName="tblTarifsABS" ref="A4:C6">
  <autoFilter ref="A4:C6" xr:uid="{00000000-0009-0000-0100-000002000000}"/>
  <tableColumns count="3">
    <tableColumn id="1" xr3:uid="{00000000-0010-0000-0100-000001000000}" name="Environnement"/>
    <tableColumn id="2" xr3:uid="{00000000-0010-0000-0100-000002000000}" name="Cout CPU (EUR/core/mois)"/>
    <tableColumn id="3" xr3:uid="{00000000-0010-0000-0100-000003000000}" name="Cout RAM (EUR/Go/mois)"/>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Flavors" displayName="tblFlavors" ref="A4:F30">
  <autoFilter ref="A4:F30" xr:uid="{00000000-0009-0000-0100-000003000000}"/>
  <tableColumns count="6">
    <tableColumn id="1" xr3:uid="{00000000-0010-0000-0200-000001000000}" name="Infra"/>
    <tableColumn id="2" xr3:uid="{00000000-0010-0000-0200-000002000000}" name="Flavor"/>
    <tableColumn id="3" xr3:uid="{00000000-0010-0000-0200-000003000000}" name="vCPU"/>
    <tableColumn id="4" xr3:uid="{00000000-0010-0000-0200-000004000000}" name="RAM (Go)"/>
    <tableColumn id="5" xr3:uid="{00000000-0010-0000-0200-000005000000}" name="Famille"/>
    <tableColumn id="6" xr3:uid="{00000000-0010-0000-0200-000006000000}" name="Cle Famille vCPU"/>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Clusters" displayName="tblClusters" ref="A4:Z34">
  <autoFilter ref="A4:Z34" xr:uid="{00000000-0009-0000-0100-000004000000}"/>
  <tableColumns count="26">
    <tableColumn id="1" xr3:uid="{00000000-0010-0000-0300-000001000000}" name="Compte"/>
    <tableColumn id="2" xr3:uid="{00000000-0010-0000-0300-000002000000}" name="Cluster"/>
    <tableColumn id="3" xr3:uid="{00000000-0010-0000-0300-000003000000}" name="Infra"/>
    <tableColumn id="4" xr3:uid="{00000000-0010-0000-0300-000004000000}" name="Utilisation"/>
    <tableColumn id="5" xr3:uid="{00000000-0010-0000-0300-000005000000}" name="Type (deduit)"/>
    <tableColumn id="6" xr3:uid="{00000000-0010-0000-0300-000006000000}" name="Environnement"/>
    <tableColumn id="7" xr3:uid="{00000000-0010-0000-0300-000007000000}" name="Flavor"/>
    <tableColumn id="8" xr3:uid="{00000000-0010-0000-0300-000008000000}" name="Worker Count"/>
    <tableColumn id="9" xr3:uid="{00000000-0010-0000-0300-000009000000}" name="Charge existante CPU hors migration"/>
    <tableColumn id="10" xr3:uid="{00000000-0010-0000-0300-00000A000000}" name="Charge existante RAM hors migration (Go)"/>
    <tableColumn id="11" xr3:uid="{00000000-0010-0000-0300-00000B000000}" name="vCPU / noeud (deduit)"/>
    <tableColumn id="12" xr3:uid="{00000000-0010-0000-0300-00000C000000}" name="RAM / noeud - Go (deduit)"/>
    <tableColumn id="13" xr3:uid="{00000000-0010-0000-0300-00000D000000}" name="CPU max (cores)"/>
    <tableColumn id="14" xr3:uid="{00000000-0010-0000-0300-00000E000000}" name="RAM max (Go)"/>
    <tableColumn id="15" xr3:uid="{00000000-0010-0000-0300-00000F000000}" name="CPU alloue migration (cores)"/>
    <tableColumn id="16" xr3:uid="{00000000-0010-0000-0300-000010000000}" name="RAM allouee migration (Go)"/>
    <tableColumn id="17" xr3:uid="{00000000-0010-0000-0300-000011000000}" name="CPU total projete (cores)"/>
    <tableColumn id="18" xr3:uid="{00000000-0010-0000-0300-000012000000}" name="RAM totale projetee (Go)"/>
    <tableColumn id="19" xr3:uid="{00000000-0010-0000-0300-000013000000}" name="Taux CPU"/>
    <tableColumn id="20" xr3:uid="{00000000-0010-0000-0300-000014000000}" name="Taux RAM"/>
    <tableColumn id="21" xr3:uid="{00000000-0010-0000-0300-000015000000}" name="Statut"/>
    <tableColumn id="22" xr3:uid="{00000000-0010-0000-0300-000016000000}" name="Extension necessaire un jour O/N"/>
    <tableColumn id="23" xr3:uid="{00000000-0010-0000-0300-000017000000}" name="Famille de la flavor"/>
    <tableColumn id="24" xr3:uid="{00000000-0010-0000-0300-000018000000}" name="vCPU max de la famille"/>
    <tableColumn id="25" xr3:uid="{00000000-0010-0000-0300-000019000000}" name="Flavor max de la famille atteinte O/N"/>
    <tableColumn id="26" xr3:uid="{00000000-0010-0000-0300-00001A000000}" name="Flavor suivante suggeree"/>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Regles" displayName="tblRegles" ref="A4:H36">
  <autoFilter ref="A4:H36" xr:uid="{00000000-0009-0000-0100-000005000000}"/>
  <tableColumns count="8">
    <tableColumn id="1" xr3:uid="{00000000-0010-0000-0400-000001000000}" name="Region / Perimetre"/>
    <tableColumn id="2" xr3:uid="{00000000-0010-0000-0400-000002000000}" name="Donnees secretes O/N"/>
    <tableColumn id="3" xr3:uid="{00000000-0010-0000-0400-000003000000}" name="Environnement"/>
    <tableColumn id="4" xr3:uid="{00000000-0010-0000-0400-000004000000}" name="Cluster ROKS cible principal"/>
    <tableColumn id="5" xr3:uid="{00000000-0010-0000-0400-000005000000}" name="Cluster de repli optionnel"/>
    <tableColumn id="6" xr3:uid="{00000000-0010-0000-0400-000006000000}" name="Cle de selection"/>
    <tableColumn id="7" xr3:uid="{00000000-0010-0000-0400-000007000000}" name="Principal trouve"/>
    <tableColumn id="8" xr3:uid="{00000000-0010-0000-0400-000008000000}" name="Repli trouve"/>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Applications" displayName="tblApplications" ref="A4:AO14">
  <autoFilter ref="A4:AO14" xr:uid="{00000000-0009-0000-0100-000006000000}"/>
  <tableColumns count="41">
    <tableColumn id="1" xr3:uid="{00000000-0010-0000-0500-000001000000}" name="Application"/>
    <tableColumn id="2" xr3:uid="{00000000-0010-0000-0500-000002000000}" name="Namespace"/>
    <tableColumn id="3" xr3:uid="{00000000-0010-0000-0500-000003000000}" name="Cluster IKS source"/>
    <tableColumn id="4" xr3:uid="{00000000-0010-0000-0500-000004000000}" name="Statut"/>
    <tableColumn id="5" xr3:uid="{00000000-0010-0000-0500-000005000000}" name="Compte NPR/PRD"/>
    <tableColumn id="6" xr3:uid="{00000000-0010-0000-0500-000006000000}" name="Donnees secretes O/N"/>
    <tableColumn id="7" xr3:uid="{00000000-0010-0000-0500-000007000000}" name="Contrainte RGPD/compliance forte O/N"/>
    <tableColumn id="8" xr3:uid="{00000000-0010-0000-0500-000008000000}" name="Isolement fort requis O/N"/>
    <tableColumn id="9" xr3:uid="{00000000-0010-0000-0500-000009000000}" name="Volume important de ressources O/N"/>
    <tableColumn id="10" xr3:uid="{00000000-0010-0000-0500-00000A000000}" name="Nombre de replicas du service"/>
    <tableColumn id="11" xr3:uid="{00000000-0010-0000-0500-00000B000000}" name="Mois de bascule prevu"/>
    <tableColumn id="12" xr3:uid="{00000000-0010-0000-0500-00000C000000}" name="Duree double run (mois)"/>
    <tableColumn id="13" xr3:uid="{00000000-0010-0000-0500-00000D000000}" name="Inclus projection O/N"/>
    <tableColumn id="14" xr3:uid="{00000000-0010-0000-0500-00000E000000}" name="Region / Perimetre"/>
    <tableColumn id="15" xr3:uid="{00000000-0010-0000-0500-00000F000000}" name="Cluster ROKS cible (auto)"/>
    <tableColumn id="16" xr3:uid="{00000000-0010-0000-0500-000010000000}" name="Type de cluster (Mutualise/Dedie)"/>
    <tableColumn id="17" xr3:uid="{00000000-0010-0000-0500-000011000000}" name="CPU reel p95 par replica (cores)"/>
    <tableColumn id="18" xr3:uid="{00000000-0010-0000-0500-000012000000}" name="RAM reelle p95 par replica (Go)"/>
    <tableColumn id="19" xr3:uid="{00000000-0010-0000-0500-000013000000}" name="CPU cible ROKS"/>
    <tableColumn id="20" xr3:uid="{00000000-0010-0000-0500-000014000000}" name="RAM cible ROKS"/>
    <tableColumn id="21" xr3:uid="{00000000-0010-0000-0500-000015000000}" name="Date arret IKS calculee"/>
    <tableColumn id="22" xr3:uid="{00000000-0010-0000-0500-000016000000}" name="Statut affectation cluster"/>
    <tableColumn id="23" xr3:uid="{00000000-0010-0000-0500-000017000000}" name="Environnement deduit"/>
    <tableColumn id="24" xr3:uid="{00000000-0010-0000-0500-000018000000}" name="Region effective deduite"/>
    <tableColumn id="25" xr3:uid="{00000000-0010-0000-0500-000019000000}" name="Cle de selection deduite"/>
    <tableColumn id="26" xr3:uid="{00000000-0010-0000-0500-00001A000000}" name="Type du cluster cible (controle)"/>
    <tableColumn id="27" xr3:uid="{00000000-0010-0000-0500-00001B000000}" name="Coherence type / cluster"/>
    <tableColumn id="28" xr3:uid="{00000000-0010-0000-0500-00001C000000}" name="Cluster principal candidat"/>
    <tableColumn id="29" xr3:uid="{00000000-0010-0000-0500-00001D000000}" name="Cluster de repli candidat"/>
    <tableColumn id="30" xr3:uid="{00000000-0010-0000-0500-00001E000000}" name="CPU deja engage principal (avant cette date)"/>
    <tableColumn id="31" xr3:uid="{00000000-0010-0000-0500-00001F000000}" name="RAM deja engagee principal (avant cette date)"/>
    <tableColumn id="32" xr3:uid="{00000000-0010-0000-0500-000020000000}" name="CPU max du principal"/>
    <tableColumn id="33" xr3:uid="{00000000-0010-0000-0500-000021000000}" name="RAM max du principal"/>
    <tableColumn id="34" xr3:uid="{00000000-0010-0000-0500-000022000000}" name="Workers du principal"/>
    <tableColumn id="35" xr3:uid="{00000000-0010-0000-0500-000023000000}" name="Principal disponible pour cette appli"/>
    <tableColumn id="36" xr3:uid="{00000000-0010-0000-0500-000024000000}" name="CPU deja engage repli (avant cette date)"/>
    <tableColumn id="37" xr3:uid="{00000000-0010-0000-0500-000025000000}" name="RAM deja engagee repli (avant cette date)"/>
    <tableColumn id="38" xr3:uid="{00000000-0010-0000-0500-000026000000}" name="CPU max du repli"/>
    <tableColumn id="39" xr3:uid="{00000000-0010-0000-0500-000027000000}" name="RAM max du repli"/>
    <tableColumn id="40" xr3:uid="{00000000-0010-0000-0500-000028000000}" name="Workers du repli"/>
    <tableColumn id="41" xr3:uid="{00000000-0010-0000-0500-000029000000}" name="Repli disponible pour cette appli"/>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Projection" displayName="tblProjection" ref="A4:R364">
  <autoFilter ref="A4:R364" xr:uid="{00000000-0009-0000-0100-000007000000}"/>
  <tableColumns count="18">
    <tableColumn id="1" xr3:uid="{00000000-0010-0000-0600-000001000000}" name="Mois"/>
    <tableColumn id="2" xr3:uid="{00000000-0010-0000-0600-000002000000}" name="Cluster"/>
    <tableColumn id="3" xr3:uid="{00000000-0010-0000-0600-000003000000}" name="Utilisation"/>
    <tableColumn id="4" xr3:uid="{00000000-0010-0000-0600-000004000000}" name="Type"/>
    <tableColumn id="5" xr3:uid="{00000000-0010-0000-0600-000005000000}" name="CPU max (cores)"/>
    <tableColumn id="6" xr3:uid="{00000000-0010-0000-0600-000006000000}" name="RAM max (Go)"/>
    <tableColumn id="7" xr3:uid="{00000000-0010-0000-0600-000007000000}" name="Charge existante CPU"/>
    <tableColumn id="8" xr3:uid="{00000000-0010-0000-0600-000008000000}" name="Charge existante RAM"/>
    <tableColumn id="9" xr3:uid="{00000000-0010-0000-0600-000009000000}" name="Nouvelles migrations CPU cumulees"/>
    <tableColumn id="10" xr3:uid="{00000000-0010-0000-0600-00000A000000}" name="Nouvelles migrations RAM cumulees"/>
    <tableColumn id="11" xr3:uid="{00000000-0010-0000-0600-00000B000000}" name="Charge projetee CPU"/>
    <tableColumn id="12" xr3:uid="{00000000-0010-0000-0600-00000C000000}" name="Charge projetee RAM"/>
    <tableColumn id="13" xr3:uid="{00000000-0010-0000-0600-00000D000000}" name="Taux CPU"/>
    <tableColumn id="14" xr3:uid="{00000000-0010-0000-0600-00000E000000}" name="Taux RAM"/>
    <tableColumn id="15" xr3:uid="{00000000-0010-0000-0600-00000F000000}" name="Statut"/>
    <tableColumn id="16" xr3:uid="{00000000-0010-0000-0600-000010000000}" name="Capacite CPU a ajouter"/>
    <tableColumn id="17" xr3:uid="{00000000-0010-0000-0600-000011000000}" name="Capacite RAM a ajouter"/>
    <tableColumn id="18" xr3:uid="{00000000-0010-0000-0600-000012000000}" name="Workers supplementaires necessaires"/>
  </tableColumns>
  <tableStyleInfo name="TableStyleMedium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showGridLines="0" workbookViewId="0"/>
  </sheetViews>
  <sheetFormatPr baseColWidth="10" defaultColWidth="8.83203125" defaultRowHeight="15" x14ac:dyDescent="0.2"/>
  <cols>
    <col min="1" max="1" width="24" customWidth="1"/>
    <col min="2" max="2" width="55" customWidth="1"/>
    <col min="3" max="3" width="40" customWidth="1"/>
  </cols>
  <sheetData>
    <row r="1" spans="1:3" ht="18" x14ac:dyDescent="0.2">
      <c r="A1" s="1" t="s">
        <v>0</v>
      </c>
    </row>
    <row r="2" spans="1:3" x14ac:dyDescent="0.2">
      <c r="A2" s="2" t="s">
        <v>1</v>
      </c>
    </row>
    <row r="4" spans="1:3" x14ac:dyDescent="0.2">
      <c r="A4" s="3" t="s">
        <v>2</v>
      </c>
      <c r="B4" s="3" t="s">
        <v>3</v>
      </c>
      <c r="C4" s="3" t="s">
        <v>4</v>
      </c>
    </row>
    <row r="5" spans="1:3" ht="28" x14ac:dyDescent="0.2">
      <c r="A5" s="4" t="s">
        <v>5</v>
      </c>
      <c r="B5" s="4" t="s">
        <v>6</v>
      </c>
      <c r="C5" s="4" t="s">
        <v>7</v>
      </c>
    </row>
    <row r="6" spans="1:3" x14ac:dyDescent="0.2">
      <c r="A6" s="4" t="s">
        <v>8</v>
      </c>
      <c r="B6" s="4" t="s">
        <v>9</v>
      </c>
      <c r="C6" s="4" t="s">
        <v>10</v>
      </c>
    </row>
    <row r="7" spans="1:3" ht="28" x14ac:dyDescent="0.2">
      <c r="A7" s="4" t="s">
        <v>11</v>
      </c>
      <c r="B7" s="4" t="s">
        <v>12</v>
      </c>
      <c r="C7" s="4" t="s">
        <v>13</v>
      </c>
    </row>
    <row r="8" spans="1:3" x14ac:dyDescent="0.2">
      <c r="A8" s="4" t="s">
        <v>14</v>
      </c>
      <c r="B8" s="4" t="s">
        <v>15</v>
      </c>
      <c r="C8" s="4" t="s">
        <v>16</v>
      </c>
    </row>
    <row r="9" spans="1:3" ht="28" x14ac:dyDescent="0.2">
      <c r="A9" s="4" t="s">
        <v>17</v>
      </c>
      <c r="B9" s="4" t="s">
        <v>18</v>
      </c>
      <c r="C9" s="4" t="s">
        <v>19</v>
      </c>
    </row>
    <row r="10" spans="1:3" ht="28" x14ac:dyDescent="0.2">
      <c r="A10" s="4" t="s">
        <v>20</v>
      </c>
      <c r="B10" s="4" t="s">
        <v>21</v>
      </c>
      <c r="C10" s="4" t="s">
        <v>22</v>
      </c>
    </row>
    <row r="11" spans="1:3" ht="28" x14ac:dyDescent="0.2">
      <c r="A11" s="4" t="s">
        <v>23</v>
      </c>
      <c r="B11" s="4" t="s">
        <v>24</v>
      </c>
      <c r="C11" s="4" t="s">
        <v>25</v>
      </c>
    </row>
    <row r="12" spans="1:3" x14ac:dyDescent="0.2">
      <c r="A12" s="4" t="s">
        <v>26</v>
      </c>
      <c r="B12" s="4" t="s">
        <v>27</v>
      </c>
      <c r="C12" s="4" t="s">
        <v>28</v>
      </c>
    </row>
    <row r="13" spans="1:3" x14ac:dyDescent="0.2">
      <c r="A13" s="4" t="s">
        <v>29</v>
      </c>
      <c r="B13" s="4" t="s">
        <v>30</v>
      </c>
      <c r="C13" s="4" t="s">
        <v>28</v>
      </c>
    </row>
    <row r="16" spans="1:3" x14ac:dyDescent="0.2">
      <c r="A16" s="5" t="s">
        <v>31</v>
      </c>
    </row>
    <row r="17" spans="1:8" ht="28" customHeight="1" x14ac:dyDescent="0.2">
      <c r="A17" s="46" t="s">
        <v>32</v>
      </c>
      <c r="B17" s="47"/>
      <c r="C17" s="47"/>
      <c r="D17" s="47"/>
      <c r="E17" s="47"/>
      <c r="F17" s="47"/>
      <c r="G17" s="47"/>
      <c r="H17" s="47"/>
    </row>
    <row r="18" spans="1:8" ht="28" customHeight="1" x14ac:dyDescent="0.2">
      <c r="A18" s="46" t="s">
        <v>33</v>
      </c>
      <c r="B18" s="47"/>
      <c r="C18" s="47"/>
      <c r="D18" s="47"/>
      <c r="E18" s="47"/>
      <c r="F18" s="47"/>
      <c r="G18" s="47"/>
      <c r="H18" s="47"/>
    </row>
    <row r="19" spans="1:8" ht="28" customHeight="1" x14ac:dyDescent="0.2">
      <c r="A19" s="46" t="s">
        <v>34</v>
      </c>
      <c r="B19" s="47"/>
      <c r="C19" s="47"/>
      <c r="D19" s="47"/>
      <c r="E19" s="47"/>
      <c r="F19" s="47"/>
      <c r="G19" s="47"/>
      <c r="H19" s="47"/>
    </row>
    <row r="20" spans="1:8" ht="28" customHeight="1" x14ac:dyDescent="0.2">
      <c r="A20" s="46" t="s">
        <v>35</v>
      </c>
      <c r="B20" s="47"/>
      <c r="C20" s="47"/>
      <c r="D20" s="47"/>
      <c r="E20" s="47"/>
      <c r="F20" s="47"/>
      <c r="G20" s="47"/>
      <c r="H20" s="47"/>
    </row>
    <row r="22" spans="1:8" x14ac:dyDescent="0.2">
      <c r="A22" s="5" t="s">
        <v>36</v>
      </c>
    </row>
    <row r="23" spans="1:8" ht="28" customHeight="1" x14ac:dyDescent="0.2">
      <c r="A23" s="46" t="s">
        <v>37</v>
      </c>
      <c r="B23" s="47"/>
      <c r="C23" s="47"/>
      <c r="D23" s="47"/>
      <c r="E23" s="47"/>
      <c r="F23" s="47"/>
      <c r="G23" s="47"/>
      <c r="H23" s="47"/>
    </row>
    <row r="24" spans="1:8" ht="28" customHeight="1" x14ac:dyDescent="0.2">
      <c r="A24" s="46" t="s">
        <v>38</v>
      </c>
      <c r="B24" s="47"/>
      <c r="C24" s="47"/>
      <c r="D24" s="47"/>
      <c r="E24" s="47"/>
      <c r="F24" s="47"/>
      <c r="G24" s="47"/>
      <c r="H24" s="47"/>
    </row>
    <row r="25" spans="1:8" ht="28" customHeight="1" x14ac:dyDescent="0.2">
      <c r="A25" s="46" t="s">
        <v>39</v>
      </c>
      <c r="B25" s="47"/>
      <c r="C25" s="47"/>
      <c r="D25" s="47"/>
      <c r="E25" s="47"/>
      <c r="F25" s="47"/>
      <c r="G25" s="47"/>
      <c r="H25" s="47"/>
    </row>
    <row r="26" spans="1:8" ht="28" customHeight="1" x14ac:dyDescent="0.2">
      <c r="A26" s="46" t="s">
        <v>40</v>
      </c>
      <c r="B26" s="47"/>
      <c r="C26" s="47"/>
      <c r="D26" s="47"/>
      <c r="E26" s="47"/>
      <c r="F26" s="47"/>
      <c r="G26" s="47"/>
      <c r="H26" s="47"/>
    </row>
    <row r="27" spans="1:8" ht="28" customHeight="1" x14ac:dyDescent="0.2">
      <c r="A27" s="46" t="s">
        <v>41</v>
      </c>
      <c r="B27" s="47"/>
      <c r="C27" s="47"/>
      <c r="D27" s="47"/>
      <c r="E27" s="47"/>
      <c r="F27" s="47"/>
      <c r="G27" s="47"/>
      <c r="H27" s="47"/>
    </row>
    <row r="28" spans="1:8" ht="28" customHeight="1" x14ac:dyDescent="0.2">
      <c r="A28" s="46" t="s">
        <v>42</v>
      </c>
      <c r="B28" s="47"/>
      <c r="C28" s="47"/>
      <c r="D28" s="47"/>
      <c r="E28" s="47"/>
      <c r="F28" s="47"/>
      <c r="G28" s="47"/>
      <c r="H28" s="47"/>
    </row>
    <row r="29" spans="1:8" x14ac:dyDescent="0.2">
      <c r="A29" s="48" t="s">
        <v>43</v>
      </c>
      <c r="B29" s="47"/>
      <c r="C29" s="47"/>
      <c r="D29" s="47"/>
      <c r="E29" s="47"/>
      <c r="F29" s="47"/>
      <c r="G29" s="47"/>
      <c r="H29" s="47"/>
    </row>
    <row r="30" spans="1:8" x14ac:dyDescent="0.2">
      <c r="A30" s="5" t="s">
        <v>44</v>
      </c>
    </row>
    <row r="31" spans="1:8" x14ac:dyDescent="0.2">
      <c r="A31" s="7" t="s">
        <v>45</v>
      </c>
      <c r="B31" s="6" t="s">
        <v>46</v>
      </c>
    </row>
    <row r="32" spans="1:8" x14ac:dyDescent="0.2">
      <c r="A32" s="8" t="s">
        <v>47</v>
      </c>
      <c r="B32" s="6" t="s">
        <v>48</v>
      </c>
    </row>
    <row r="33" spans="1:2" ht="29" x14ac:dyDescent="0.2">
      <c r="A33" s="9" t="s">
        <v>49</v>
      </c>
      <c r="B33" s="6" t="s">
        <v>50</v>
      </c>
    </row>
    <row r="34" spans="1:2" ht="29" x14ac:dyDescent="0.2">
      <c r="A34" s="10" t="s">
        <v>51</v>
      </c>
      <c r="B34" s="6" t="s">
        <v>52</v>
      </c>
    </row>
    <row r="35" spans="1:2" ht="29" x14ac:dyDescent="0.2">
      <c r="A35" s="11" t="s">
        <v>53</v>
      </c>
      <c r="B35" s="6" t="s">
        <v>54</v>
      </c>
    </row>
    <row r="36" spans="1:2" ht="29" x14ac:dyDescent="0.2">
      <c r="A36" s="12" t="s">
        <v>55</v>
      </c>
      <c r="B36" s="6" t="s">
        <v>56</v>
      </c>
    </row>
    <row r="37" spans="1:2" x14ac:dyDescent="0.2">
      <c r="A37" s="13" t="s">
        <v>57</v>
      </c>
      <c r="B37" s="6" t="s">
        <v>58</v>
      </c>
    </row>
    <row r="38" spans="1:2" ht="29" x14ac:dyDescent="0.2">
      <c r="A38" s="14" t="s">
        <v>59</v>
      </c>
      <c r="B38" s="6" t="s">
        <v>60</v>
      </c>
    </row>
  </sheetData>
  <mergeCells count="11">
    <mergeCell ref="A17:H17"/>
    <mergeCell ref="A18:H18"/>
    <mergeCell ref="A26:H26"/>
    <mergeCell ref="A29:H29"/>
    <mergeCell ref="A25:H25"/>
    <mergeCell ref="A20:H20"/>
    <mergeCell ref="A24:H24"/>
    <mergeCell ref="A28:H28"/>
    <mergeCell ref="A19:H19"/>
    <mergeCell ref="A23:H23"/>
    <mergeCell ref="A27:H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pane ySplit="4" topLeftCell="A5" activePane="bottomLeft" state="frozen"/>
      <selection pane="bottomLeft"/>
    </sheetView>
  </sheetViews>
  <sheetFormatPr baseColWidth="10" defaultColWidth="8.83203125" defaultRowHeight="15" x14ac:dyDescent="0.2"/>
  <cols>
    <col min="1" max="1" width="18" customWidth="1"/>
    <col min="2" max="3" width="22" customWidth="1"/>
  </cols>
  <sheetData>
    <row r="1" spans="1:3" ht="18" x14ac:dyDescent="0.2">
      <c r="A1" s="1" t="s">
        <v>61</v>
      </c>
    </row>
    <row r="2" spans="1:3" x14ac:dyDescent="0.2">
      <c r="A2" s="2" t="s">
        <v>62</v>
      </c>
    </row>
    <row r="4" spans="1:3" x14ac:dyDescent="0.2">
      <c r="A4" s="15" t="s">
        <v>63</v>
      </c>
      <c r="B4" s="15" t="s">
        <v>64</v>
      </c>
      <c r="C4" s="15" t="s">
        <v>65</v>
      </c>
    </row>
    <row r="5" spans="1:3" x14ac:dyDescent="0.2">
      <c r="A5" s="16" t="s">
        <v>66</v>
      </c>
      <c r="B5" s="17">
        <v>4</v>
      </c>
      <c r="C5" s="17">
        <v>16</v>
      </c>
    </row>
    <row r="6" spans="1:3" x14ac:dyDescent="0.2">
      <c r="A6" s="16" t="s">
        <v>67</v>
      </c>
      <c r="B6" s="17">
        <v>2</v>
      </c>
      <c r="C6" s="17">
        <v>8</v>
      </c>
    </row>
    <row r="7" spans="1:3" x14ac:dyDescent="0.2">
      <c r="A7" s="16" t="s">
        <v>68</v>
      </c>
      <c r="B7" s="17">
        <v>8</v>
      </c>
      <c r="C7" s="17">
        <v>32</v>
      </c>
    </row>
    <row r="8" spans="1:3" x14ac:dyDescent="0.2">
      <c r="A8" s="16" t="s">
        <v>69</v>
      </c>
      <c r="B8" s="17">
        <v>1</v>
      </c>
      <c r="C8" s="17">
        <v>4</v>
      </c>
    </row>
    <row r="9" spans="1:3" x14ac:dyDescent="0.2">
      <c r="A9" s="16" t="s">
        <v>70</v>
      </c>
      <c r="B9" s="17">
        <v>6</v>
      </c>
      <c r="C9" s="17">
        <v>24</v>
      </c>
    </row>
    <row r="10" spans="1:3" x14ac:dyDescent="0.2">
      <c r="A10" s="16" t="s">
        <v>71</v>
      </c>
      <c r="B10" s="17">
        <v>3</v>
      </c>
      <c r="C10" s="17">
        <v>12</v>
      </c>
    </row>
    <row r="11" spans="1:3" x14ac:dyDescent="0.2">
      <c r="A11" s="16" t="s">
        <v>72</v>
      </c>
      <c r="B11" s="17">
        <v>10</v>
      </c>
      <c r="C11" s="17">
        <v>40</v>
      </c>
    </row>
    <row r="12" spans="1:3" x14ac:dyDescent="0.2">
      <c r="A12" s="16" t="s">
        <v>73</v>
      </c>
      <c r="B12" s="17">
        <v>2</v>
      </c>
      <c r="C12" s="17">
        <v>8</v>
      </c>
    </row>
    <row r="13" spans="1:3" x14ac:dyDescent="0.2">
      <c r="A13" s="16" t="s">
        <v>74</v>
      </c>
      <c r="B13" s="17">
        <v>5</v>
      </c>
      <c r="C13" s="17">
        <v>20</v>
      </c>
    </row>
    <row r="14" spans="1:3" x14ac:dyDescent="0.2">
      <c r="A14" s="16" t="s">
        <v>75</v>
      </c>
      <c r="B14" s="17">
        <v>4</v>
      </c>
      <c r="C14" s="17">
        <v>16</v>
      </c>
    </row>
    <row r="17" spans="1:1" x14ac:dyDescent="0.2">
      <c r="A17" s="18" t="s">
        <v>76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showGridLines="0" workbookViewId="0"/>
  </sheetViews>
  <sheetFormatPr baseColWidth="10" defaultColWidth="8.83203125" defaultRowHeight="15" x14ac:dyDescent="0.2"/>
  <cols>
    <col min="1" max="1" width="36" customWidth="1"/>
    <col min="2" max="3" width="22" customWidth="1"/>
  </cols>
  <sheetData>
    <row r="1" spans="1:3" ht="18" x14ac:dyDescent="0.2">
      <c r="A1" s="1" t="s">
        <v>77</v>
      </c>
    </row>
    <row r="2" spans="1:3" x14ac:dyDescent="0.2">
      <c r="A2" s="2" t="s">
        <v>78</v>
      </c>
    </row>
    <row r="4" spans="1:3" ht="28" x14ac:dyDescent="0.2">
      <c r="A4" s="15" t="s">
        <v>79</v>
      </c>
      <c r="B4" s="15" t="s">
        <v>80</v>
      </c>
      <c r="C4" s="15" t="s">
        <v>81</v>
      </c>
    </row>
    <row r="5" spans="1:3" x14ac:dyDescent="0.2">
      <c r="A5" s="16" t="s">
        <v>82</v>
      </c>
      <c r="B5" s="19">
        <v>45</v>
      </c>
      <c r="C5" s="19">
        <v>6</v>
      </c>
    </row>
    <row r="6" spans="1:3" x14ac:dyDescent="0.2">
      <c r="A6" s="16" t="s">
        <v>83</v>
      </c>
      <c r="B6" s="19">
        <v>38</v>
      </c>
      <c r="C6" s="19">
        <v>5</v>
      </c>
    </row>
    <row r="9" spans="1:3" x14ac:dyDescent="0.2">
      <c r="A9" s="5" t="s">
        <v>84</v>
      </c>
      <c r="C9" s="20">
        <v>1.2</v>
      </c>
    </row>
    <row r="10" spans="1:3" x14ac:dyDescent="0.2">
      <c r="A10" s="18" t="s">
        <v>85</v>
      </c>
    </row>
    <row r="13" spans="1:3" x14ac:dyDescent="0.2">
      <c r="A13" s="18" t="s">
        <v>86</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
  <sheetViews>
    <sheetView showGridLines="0" workbookViewId="0">
      <pane ySplit="4" topLeftCell="A5" activePane="bottomLeft" state="frozen"/>
      <selection pane="bottomLeft"/>
    </sheetView>
  </sheetViews>
  <sheetFormatPr baseColWidth="10" defaultColWidth="8.83203125" defaultRowHeight="15" x14ac:dyDescent="0.2"/>
  <cols>
    <col min="1" max="1" width="12" customWidth="1"/>
    <col min="2" max="2" width="18" customWidth="1"/>
    <col min="3" max="3" width="10" customWidth="1"/>
    <col min="4" max="5" width="12" customWidth="1"/>
    <col min="6" max="6" width="16" customWidth="1"/>
  </cols>
  <sheetData>
    <row r="1" spans="1:6" ht="18" x14ac:dyDescent="0.2">
      <c r="A1" s="1" t="s">
        <v>87</v>
      </c>
    </row>
    <row r="2" spans="1:6" x14ac:dyDescent="0.2">
      <c r="A2" s="2" t="s">
        <v>88</v>
      </c>
    </row>
    <row r="4" spans="1:6" x14ac:dyDescent="0.2">
      <c r="A4" s="15" t="s">
        <v>89</v>
      </c>
      <c r="B4" s="15" t="s">
        <v>90</v>
      </c>
      <c r="C4" s="15" t="s">
        <v>91</v>
      </c>
      <c r="D4" s="15" t="s">
        <v>92</v>
      </c>
      <c r="E4" s="15" t="s">
        <v>93</v>
      </c>
      <c r="F4" s="15" t="s">
        <v>94</v>
      </c>
    </row>
    <row r="5" spans="1:6" x14ac:dyDescent="0.2">
      <c r="A5" s="16" t="s">
        <v>95</v>
      </c>
      <c r="B5" s="16" t="s">
        <v>96</v>
      </c>
      <c r="C5" s="17">
        <v>8</v>
      </c>
      <c r="D5" s="17">
        <v>20</v>
      </c>
      <c r="E5" s="21" t="str">
        <f t="shared" ref="E5:E30" si="0">LEFT(B5,MIN(IFERROR(FIND(".",B5),999),IFERROR(FIND("-",B5),999))-1)</f>
        <v>cx3d</v>
      </c>
      <c r="F5" s="21" t="str">
        <f t="shared" ref="F5:F30" si="1">E5&amp;"|"&amp;C5</f>
        <v>cx3d|8</v>
      </c>
    </row>
    <row r="6" spans="1:6" x14ac:dyDescent="0.2">
      <c r="A6" s="16" t="s">
        <v>95</v>
      </c>
      <c r="B6" s="16" t="s">
        <v>97</v>
      </c>
      <c r="C6" s="17">
        <v>8</v>
      </c>
      <c r="D6" s="17">
        <v>40</v>
      </c>
      <c r="E6" s="21" t="str">
        <f t="shared" si="0"/>
        <v>bx3d</v>
      </c>
      <c r="F6" s="21" t="str">
        <f t="shared" si="1"/>
        <v>bx3d|8</v>
      </c>
    </row>
    <row r="7" spans="1:6" x14ac:dyDescent="0.2">
      <c r="A7" s="16" t="s">
        <v>95</v>
      </c>
      <c r="B7" s="16" t="s">
        <v>98</v>
      </c>
      <c r="C7" s="17">
        <v>16</v>
      </c>
      <c r="D7" s="17">
        <v>40</v>
      </c>
      <c r="E7" s="21" t="str">
        <f t="shared" si="0"/>
        <v>cx3d</v>
      </c>
      <c r="F7" s="21" t="str">
        <f t="shared" si="1"/>
        <v>cx3d|16</v>
      </c>
    </row>
    <row r="8" spans="1:6" x14ac:dyDescent="0.2">
      <c r="A8" s="16" t="s">
        <v>95</v>
      </c>
      <c r="B8" s="16" t="s">
        <v>99</v>
      </c>
      <c r="C8" s="17">
        <v>16</v>
      </c>
      <c r="D8" s="17">
        <v>80</v>
      </c>
      <c r="E8" s="21" t="str">
        <f t="shared" si="0"/>
        <v>bx3d</v>
      </c>
      <c r="F8" s="21" t="str">
        <f t="shared" si="1"/>
        <v>bx3d|16</v>
      </c>
    </row>
    <row r="9" spans="1:6" x14ac:dyDescent="0.2">
      <c r="A9" s="16" t="s">
        <v>95</v>
      </c>
      <c r="B9" s="16" t="s">
        <v>100</v>
      </c>
      <c r="C9" s="17">
        <v>24</v>
      </c>
      <c r="D9" s="17">
        <v>240</v>
      </c>
      <c r="E9" s="21" t="str">
        <f t="shared" si="0"/>
        <v>mx3d</v>
      </c>
      <c r="F9" s="21" t="str">
        <f t="shared" si="1"/>
        <v>mx3d|24</v>
      </c>
    </row>
    <row r="10" spans="1:6" x14ac:dyDescent="0.2">
      <c r="A10" s="16" t="s">
        <v>95</v>
      </c>
      <c r="B10" s="16" t="s">
        <v>101</v>
      </c>
      <c r="C10" s="17">
        <v>32</v>
      </c>
      <c r="D10" s="17">
        <v>80</v>
      </c>
      <c r="E10" s="21" t="str">
        <f t="shared" si="0"/>
        <v>cx3d</v>
      </c>
      <c r="F10" s="21" t="str">
        <f t="shared" si="1"/>
        <v>cx3d|32</v>
      </c>
    </row>
    <row r="11" spans="1:6" x14ac:dyDescent="0.2">
      <c r="A11" s="16" t="s">
        <v>95</v>
      </c>
      <c r="B11" s="16" t="s">
        <v>102</v>
      </c>
      <c r="C11" s="17">
        <v>32</v>
      </c>
      <c r="D11" s="17">
        <v>160</v>
      </c>
      <c r="E11" s="21" t="str">
        <f t="shared" si="0"/>
        <v>bx3d</v>
      </c>
      <c r="F11" s="21" t="str">
        <f t="shared" si="1"/>
        <v>bx3d|32</v>
      </c>
    </row>
    <row r="12" spans="1:6" x14ac:dyDescent="0.2">
      <c r="A12" s="16" t="s">
        <v>95</v>
      </c>
      <c r="B12" s="16" t="s">
        <v>103</v>
      </c>
      <c r="C12" s="17">
        <v>32</v>
      </c>
      <c r="D12" s="17">
        <v>320</v>
      </c>
      <c r="E12" s="21" t="str">
        <f t="shared" si="0"/>
        <v>mx3d</v>
      </c>
      <c r="F12" s="21" t="str">
        <f t="shared" si="1"/>
        <v>mx3d|32</v>
      </c>
    </row>
    <row r="13" spans="1:6" x14ac:dyDescent="0.2">
      <c r="A13" s="16" t="s">
        <v>95</v>
      </c>
      <c r="B13" s="16" t="s">
        <v>104</v>
      </c>
      <c r="C13" s="17">
        <v>48</v>
      </c>
      <c r="D13" s="17">
        <v>240</v>
      </c>
      <c r="E13" s="21" t="str">
        <f t="shared" si="0"/>
        <v>bx3d</v>
      </c>
      <c r="F13" s="21" t="str">
        <f t="shared" si="1"/>
        <v>bx3d|48</v>
      </c>
    </row>
    <row r="14" spans="1:6" x14ac:dyDescent="0.2">
      <c r="A14" s="16" t="s">
        <v>95</v>
      </c>
      <c r="B14" s="16" t="s">
        <v>105</v>
      </c>
      <c r="C14" s="17">
        <v>96</v>
      </c>
      <c r="D14" s="17">
        <v>240</v>
      </c>
      <c r="E14" s="21" t="str">
        <f t="shared" si="0"/>
        <v>cx3d</v>
      </c>
      <c r="F14" s="21" t="str">
        <f t="shared" si="1"/>
        <v>cx3d|96</v>
      </c>
    </row>
    <row r="15" spans="1:6" x14ac:dyDescent="0.2">
      <c r="A15" s="16" t="s">
        <v>106</v>
      </c>
      <c r="B15" s="16" t="s">
        <v>107</v>
      </c>
      <c r="C15" s="17">
        <v>4</v>
      </c>
      <c r="D15" s="17">
        <v>16</v>
      </c>
      <c r="E15" s="21" t="str">
        <f t="shared" si="0"/>
        <v>bx2</v>
      </c>
      <c r="F15" s="21" t="str">
        <f t="shared" si="1"/>
        <v>bx2|4</v>
      </c>
    </row>
    <row r="16" spans="1:6" x14ac:dyDescent="0.2">
      <c r="A16" s="16" t="s">
        <v>106</v>
      </c>
      <c r="B16" s="16" t="s">
        <v>108</v>
      </c>
      <c r="C16" s="17">
        <v>4</v>
      </c>
      <c r="D16" s="17">
        <v>32</v>
      </c>
      <c r="E16" s="21" t="str">
        <f t="shared" si="0"/>
        <v>mx2</v>
      </c>
      <c r="F16" s="21" t="str">
        <f t="shared" si="1"/>
        <v>mx2|4</v>
      </c>
    </row>
    <row r="17" spans="1:6" x14ac:dyDescent="0.2">
      <c r="A17" s="16" t="s">
        <v>106</v>
      </c>
      <c r="B17" s="16" t="s">
        <v>109</v>
      </c>
      <c r="C17" s="17">
        <v>8</v>
      </c>
      <c r="D17" s="17">
        <v>16</v>
      </c>
      <c r="E17" s="21" t="str">
        <f t="shared" si="0"/>
        <v>cx2</v>
      </c>
      <c r="F17" s="21" t="str">
        <f t="shared" si="1"/>
        <v>cx2|8</v>
      </c>
    </row>
    <row r="18" spans="1:6" x14ac:dyDescent="0.2">
      <c r="A18" s="16" t="s">
        <v>106</v>
      </c>
      <c r="B18" s="16" t="s">
        <v>110</v>
      </c>
      <c r="C18" s="17">
        <v>8</v>
      </c>
      <c r="D18" s="17">
        <v>32</v>
      </c>
      <c r="E18" s="21" t="str">
        <f t="shared" si="0"/>
        <v>bx2</v>
      </c>
      <c r="F18" s="21" t="str">
        <f t="shared" si="1"/>
        <v>bx2|8</v>
      </c>
    </row>
    <row r="19" spans="1:6" x14ac:dyDescent="0.2">
      <c r="A19" s="16" t="s">
        <v>106</v>
      </c>
      <c r="B19" s="16" t="s">
        <v>111</v>
      </c>
      <c r="C19" s="17">
        <v>8</v>
      </c>
      <c r="D19" s="17">
        <v>64</v>
      </c>
      <c r="E19" s="21" t="str">
        <f t="shared" si="0"/>
        <v>mx2</v>
      </c>
      <c r="F19" s="21" t="str">
        <f t="shared" si="1"/>
        <v>mx2|8</v>
      </c>
    </row>
    <row r="20" spans="1:6" x14ac:dyDescent="0.2">
      <c r="A20" s="16" t="s">
        <v>106</v>
      </c>
      <c r="B20" s="16" t="s">
        <v>112</v>
      </c>
      <c r="C20" s="17">
        <v>16</v>
      </c>
      <c r="D20" s="17">
        <v>32</v>
      </c>
      <c r="E20" s="21" t="str">
        <f t="shared" si="0"/>
        <v>cx2</v>
      </c>
      <c r="F20" s="21" t="str">
        <f t="shared" si="1"/>
        <v>cx2|16</v>
      </c>
    </row>
    <row r="21" spans="1:6" x14ac:dyDescent="0.2">
      <c r="A21" s="16" t="s">
        <v>106</v>
      </c>
      <c r="B21" s="16" t="s">
        <v>113</v>
      </c>
      <c r="C21" s="17">
        <v>16</v>
      </c>
      <c r="D21" s="17">
        <v>64</v>
      </c>
      <c r="E21" s="21" t="str">
        <f t="shared" si="0"/>
        <v>bx2</v>
      </c>
      <c r="F21" s="21" t="str">
        <f t="shared" si="1"/>
        <v>bx2|16</v>
      </c>
    </row>
    <row r="22" spans="1:6" x14ac:dyDescent="0.2">
      <c r="A22" s="16" t="s">
        <v>106</v>
      </c>
      <c r="B22" s="16" t="s">
        <v>114</v>
      </c>
      <c r="C22" s="17">
        <v>16</v>
      </c>
      <c r="D22" s="17">
        <v>128</v>
      </c>
      <c r="E22" s="21" t="str">
        <f t="shared" si="0"/>
        <v>mx2</v>
      </c>
      <c r="F22" s="21" t="str">
        <f t="shared" si="1"/>
        <v>mx2|16</v>
      </c>
    </row>
    <row r="23" spans="1:6" x14ac:dyDescent="0.2">
      <c r="A23" s="16" t="s">
        <v>106</v>
      </c>
      <c r="B23" s="16" t="s">
        <v>115</v>
      </c>
      <c r="C23" s="17">
        <v>32</v>
      </c>
      <c r="D23" s="17">
        <v>64</v>
      </c>
      <c r="E23" s="21" t="str">
        <f t="shared" si="0"/>
        <v>cx2</v>
      </c>
      <c r="F23" s="21" t="str">
        <f t="shared" si="1"/>
        <v>cx2|32</v>
      </c>
    </row>
    <row r="24" spans="1:6" x14ac:dyDescent="0.2">
      <c r="A24" s="16" t="s">
        <v>106</v>
      </c>
      <c r="B24" s="16" t="s">
        <v>116</v>
      </c>
      <c r="C24" s="17">
        <v>32</v>
      </c>
      <c r="D24" s="17">
        <v>128</v>
      </c>
      <c r="E24" s="21" t="str">
        <f t="shared" si="0"/>
        <v>bx2</v>
      </c>
      <c r="F24" s="21" t="str">
        <f t="shared" si="1"/>
        <v>bx2|32</v>
      </c>
    </row>
    <row r="25" spans="1:6" x14ac:dyDescent="0.2">
      <c r="A25" s="16" t="s">
        <v>106</v>
      </c>
      <c r="B25" s="16" t="s">
        <v>117</v>
      </c>
      <c r="C25" s="17">
        <v>32</v>
      </c>
      <c r="D25" s="17">
        <v>256</v>
      </c>
      <c r="E25" s="21" t="str">
        <f t="shared" si="0"/>
        <v>mx2</v>
      </c>
      <c r="F25" s="21" t="str">
        <f t="shared" si="1"/>
        <v>mx2|32</v>
      </c>
    </row>
    <row r="26" spans="1:6" x14ac:dyDescent="0.2">
      <c r="A26" s="16" t="s">
        <v>106</v>
      </c>
      <c r="B26" s="16" t="s">
        <v>118</v>
      </c>
      <c r="C26" s="17">
        <v>48</v>
      </c>
      <c r="D26" s="17">
        <v>96</v>
      </c>
      <c r="E26" s="21" t="str">
        <f t="shared" si="0"/>
        <v>cx2</v>
      </c>
      <c r="F26" s="21" t="str">
        <f t="shared" si="1"/>
        <v>cx2|48</v>
      </c>
    </row>
    <row r="27" spans="1:6" x14ac:dyDescent="0.2">
      <c r="A27" s="16" t="s">
        <v>106</v>
      </c>
      <c r="B27" s="16" t="s">
        <v>119</v>
      </c>
      <c r="C27" s="17">
        <v>48</v>
      </c>
      <c r="D27" s="17">
        <v>192</v>
      </c>
      <c r="E27" s="21" t="str">
        <f t="shared" si="0"/>
        <v>bx2</v>
      </c>
      <c r="F27" s="21" t="str">
        <f t="shared" si="1"/>
        <v>bx2|48</v>
      </c>
    </row>
    <row r="28" spans="1:6" x14ac:dyDescent="0.2">
      <c r="A28" s="16" t="s">
        <v>106</v>
      </c>
      <c r="B28" s="16" t="s">
        <v>120</v>
      </c>
      <c r="C28" s="17">
        <v>48</v>
      </c>
      <c r="D28" s="17">
        <v>384</v>
      </c>
      <c r="E28" s="21" t="str">
        <f t="shared" si="0"/>
        <v>mx2</v>
      </c>
      <c r="F28" s="21" t="str">
        <f t="shared" si="1"/>
        <v>mx2|48</v>
      </c>
    </row>
    <row r="29" spans="1:6" x14ac:dyDescent="0.2">
      <c r="A29" s="16" t="s">
        <v>106</v>
      </c>
      <c r="B29" s="16" t="s">
        <v>121</v>
      </c>
      <c r="C29" s="17">
        <v>64</v>
      </c>
      <c r="D29" s="17">
        <v>512</v>
      </c>
      <c r="E29" s="21" t="str">
        <f t="shared" si="0"/>
        <v>mx2</v>
      </c>
      <c r="F29" s="21" t="str">
        <f t="shared" si="1"/>
        <v>mx2|64</v>
      </c>
    </row>
    <row r="30" spans="1:6" x14ac:dyDescent="0.2">
      <c r="A30" s="16" t="s">
        <v>106</v>
      </c>
      <c r="B30" s="16" t="s">
        <v>122</v>
      </c>
      <c r="C30" s="17">
        <v>128</v>
      </c>
      <c r="D30" s="17">
        <v>1024</v>
      </c>
      <c r="E30" s="21" t="str">
        <f t="shared" si="0"/>
        <v>mx2</v>
      </c>
      <c r="F30" s="21" t="str">
        <f t="shared" si="1"/>
        <v>mx2|128</v>
      </c>
    </row>
    <row r="32" spans="1:6" x14ac:dyDescent="0.2">
      <c r="A32" s="48" t="s">
        <v>123</v>
      </c>
      <c r="B32" s="47"/>
      <c r="C32" s="47"/>
      <c r="D32" s="47"/>
      <c r="E32" s="47"/>
      <c r="F32" s="47"/>
    </row>
    <row r="33" spans="1:6" x14ac:dyDescent="0.2">
      <c r="A33" s="47"/>
      <c r="B33" s="47"/>
      <c r="C33" s="47"/>
      <c r="D33" s="47"/>
      <c r="E33" s="47"/>
      <c r="F33" s="47"/>
    </row>
  </sheetData>
  <mergeCells count="1">
    <mergeCell ref="A32:F33"/>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8"/>
  <sheetViews>
    <sheetView showGridLines="0" tabSelected="1" workbookViewId="0">
      <pane ySplit="4" topLeftCell="A5" activePane="bottomLeft" state="frozen"/>
      <selection pane="bottomLeft" activeCell="I47" sqref="I47"/>
    </sheetView>
  </sheetViews>
  <sheetFormatPr baseColWidth="10" defaultColWidth="8.83203125" defaultRowHeight="15" outlineLevelCol="1" x14ac:dyDescent="0.2"/>
  <cols>
    <col min="1" max="1" width="16" customWidth="1"/>
    <col min="2" max="2" width="18" customWidth="1"/>
    <col min="3" max="3" width="13" customWidth="1"/>
    <col min="4" max="4" width="26" customWidth="1"/>
    <col min="5" max="8" width="13" customWidth="1"/>
    <col min="9" max="10" width="16" customWidth="1"/>
    <col min="11" max="22" width="13" customWidth="1"/>
    <col min="23" max="26" width="13" hidden="1" customWidth="1" outlineLevel="1"/>
    <col min="27" max="27" width="8.83203125" collapsed="1"/>
    <col min="28" max="28" width="26" customWidth="1"/>
    <col min="29" max="29" width="12" customWidth="1"/>
  </cols>
  <sheetData>
    <row r="1" spans="1:29" ht="18" x14ac:dyDescent="0.2">
      <c r="A1" s="1" t="s">
        <v>124</v>
      </c>
    </row>
    <row r="2" spans="1:29" x14ac:dyDescent="0.2">
      <c r="A2" s="2" t="s">
        <v>125</v>
      </c>
    </row>
    <row r="3" spans="1:29" ht="42" customHeight="1" x14ac:dyDescent="0.2">
      <c r="A3" s="49"/>
      <c r="B3" s="47"/>
      <c r="C3" s="47"/>
      <c r="D3" s="47"/>
      <c r="E3" s="47"/>
      <c r="F3" s="47"/>
      <c r="G3" s="47"/>
      <c r="H3" s="47"/>
      <c r="I3" s="47"/>
      <c r="J3" s="47"/>
      <c r="K3" s="47"/>
      <c r="L3" s="47"/>
    </row>
    <row r="4" spans="1:29" ht="42" x14ac:dyDescent="0.2">
      <c r="A4" s="15" t="s">
        <v>126</v>
      </c>
      <c r="B4" s="15" t="s">
        <v>127</v>
      </c>
      <c r="C4" s="15" t="s">
        <v>89</v>
      </c>
      <c r="D4" s="15" t="s">
        <v>128</v>
      </c>
      <c r="E4" s="15" t="s">
        <v>129</v>
      </c>
      <c r="F4" s="15" t="s">
        <v>79</v>
      </c>
      <c r="G4" s="15" t="s">
        <v>90</v>
      </c>
      <c r="H4" s="15" t="s">
        <v>130</v>
      </c>
      <c r="I4" s="15" t="s">
        <v>131</v>
      </c>
      <c r="J4" s="15" t="s">
        <v>132</v>
      </c>
      <c r="K4" s="15" t="s">
        <v>133</v>
      </c>
      <c r="L4" s="15" t="s">
        <v>134</v>
      </c>
      <c r="M4" s="15" t="s">
        <v>135</v>
      </c>
      <c r="N4" s="15" t="s">
        <v>136</v>
      </c>
      <c r="O4" s="15" t="s">
        <v>137</v>
      </c>
      <c r="P4" s="15" t="s">
        <v>138</v>
      </c>
      <c r="Q4" s="15" t="s">
        <v>139</v>
      </c>
      <c r="R4" s="15" t="s">
        <v>140</v>
      </c>
      <c r="S4" s="15" t="s">
        <v>141</v>
      </c>
      <c r="T4" s="15" t="s">
        <v>142</v>
      </c>
      <c r="U4" s="15" t="s">
        <v>143</v>
      </c>
      <c r="V4" s="15" t="s">
        <v>144</v>
      </c>
      <c r="W4" s="15" t="s">
        <v>145</v>
      </c>
      <c r="X4" s="15" t="s">
        <v>146</v>
      </c>
      <c r="Y4" s="15" t="s">
        <v>147</v>
      </c>
      <c r="Z4" s="15" t="s">
        <v>148</v>
      </c>
      <c r="AB4" s="50" t="s">
        <v>149</v>
      </c>
      <c r="AC4" s="47"/>
    </row>
    <row r="5" spans="1:29" x14ac:dyDescent="0.2">
      <c r="A5" s="16" t="s">
        <v>150</v>
      </c>
      <c r="B5" s="16" t="s">
        <v>151</v>
      </c>
      <c r="C5" s="16" t="s">
        <v>95</v>
      </c>
      <c r="D5" s="16" t="s">
        <v>152</v>
      </c>
      <c r="E5" s="22" t="str">
        <f t="shared" ref="E5:E34" si="0">IF(ISNUMBER(SEARCH("Mutualise",D5)),"Mutualise","Dedie")</f>
        <v>Mutualise</v>
      </c>
      <c r="F5" s="16" t="s">
        <v>153</v>
      </c>
      <c r="G5" s="16" t="s">
        <v>97</v>
      </c>
      <c r="H5" s="17">
        <v>6</v>
      </c>
      <c r="I5" s="23">
        <v>0</v>
      </c>
      <c r="J5" s="23">
        <v>0</v>
      </c>
      <c r="K5" s="24">
        <f>IF(G5="","",IFERROR(INDEX(tblFlavors[vCPU],MATCH(G5,tblFlavors[Flavor],0)),""))</f>
        <v>8</v>
      </c>
      <c r="L5" s="24">
        <f>IF(G5="","",IFERROR(INDEX(tblFlavors[RAM (Go)],MATCH(G5,tblFlavors[Flavor],0)),""))</f>
        <v>40</v>
      </c>
      <c r="M5" s="25">
        <f t="shared" ref="M5:M34" si="1">IF(OR(G5="",H5=0),0,K5*H5)</f>
        <v>48</v>
      </c>
      <c r="N5" s="25">
        <f t="shared" ref="N5:N34" si="2">IF(OR(G5="",H5=0),0,L5*H5)</f>
        <v>240</v>
      </c>
      <c r="O5" s="24">
        <f ca="1">SUMIFS(tblApplications[CPU cible ROKS],tblApplications[Cluster ROKS cible (auto)],B5,tblApplications[Inclus projection O/N],"O")</f>
        <v>16</v>
      </c>
      <c r="P5" s="24">
        <f ca="1">SUMIFS(tblApplications[RAM cible ROKS],tblApplications[Cluster ROKS cible (auto)],B5,tblApplications[Inclus projection O/N],"O")</f>
        <v>60</v>
      </c>
      <c r="Q5" s="25">
        <f t="shared" ref="Q5:Q34" ca="1" si="3">I5+O5</f>
        <v>16</v>
      </c>
      <c r="R5" s="25">
        <f t="shared" ref="R5:R34" ca="1" si="4">J5+P5</f>
        <v>60</v>
      </c>
      <c r="S5" s="26">
        <f t="shared" ref="S5:S34" ca="1" si="5">IF(M5=0,"",Q5/M5)</f>
        <v>0.33333333333333331</v>
      </c>
      <c r="T5" s="26">
        <f t="shared" ref="T5:T34" ca="1" si="6">IF(N5=0,"",R5/N5)</f>
        <v>0.25</v>
      </c>
      <c r="U5" s="22" t="str">
        <f ca="1">IF(M5=0,IF(Q5&gt;0,"Cluster sans capacite provisionnee","n/a"),IF(OR(S5&gt;=Clusters_ROKS!$AC$5,T5&gt;=Clusters_ROKS!$AC$5,H5&gt;=Clusters_ROKS!$AC$6),"Seuil depasse","OK"))</f>
        <v>OK</v>
      </c>
      <c r="V5" s="27" t="str">
        <f ca="1">IF(COUNTIFS(tblProjection[Cluster],B5,tblProjection[Statut],"Seuil depasse")&gt;0,"O","N")</f>
        <v>N</v>
      </c>
      <c r="W5" s="28" t="str">
        <f>IF(G5="","",IFERROR(INDEX(tblFlavors[Famille],MATCH(G5,tblFlavors[Flavor],0)),""))</f>
        <v>bx3d</v>
      </c>
      <c r="X5" s="24">
        <f>IF(W5="","",_xlfn.MAXIFS(tblFlavors[vCPU],tblFlavors[Famille],W5))</f>
        <v>48</v>
      </c>
      <c r="Y5" s="22" t="str">
        <f t="shared" ref="Y5:Y34" si="7">IF(W5="","",IF(K5&gt;=X5,"O","N"))</f>
        <v>N</v>
      </c>
      <c r="Z5" s="28" t="str">
        <f>IF(OR(W5="",Y5="O"),"",IFERROR(INDEX(tblFlavors[Flavor],MATCH(W5&amp;"|"&amp;_xlfn.MINIFS(tblFlavors[vCPU],tblFlavors[Famille],W5,tblFlavors[vCPU],"&gt;"&amp;K5),tblFlavors[Cle Famille vCPU],0)),""))</f>
        <v>bx3d.16x80</v>
      </c>
      <c r="AB5" s="29" t="s">
        <v>154</v>
      </c>
      <c r="AC5" s="30">
        <v>0.66</v>
      </c>
    </row>
    <row r="6" spans="1:29" x14ac:dyDescent="0.2">
      <c r="A6" s="16" t="s">
        <v>155</v>
      </c>
      <c r="B6" s="16" t="s">
        <v>156</v>
      </c>
      <c r="C6" s="16" t="s">
        <v>95</v>
      </c>
      <c r="D6" s="16" t="s">
        <v>152</v>
      </c>
      <c r="E6" s="22" t="str">
        <f t="shared" si="0"/>
        <v>Mutualise</v>
      </c>
      <c r="F6" s="16" t="s">
        <v>157</v>
      </c>
      <c r="G6" s="16" t="s">
        <v>101</v>
      </c>
      <c r="H6" s="17">
        <v>6</v>
      </c>
      <c r="I6" s="23">
        <v>0</v>
      </c>
      <c r="J6" s="23">
        <v>0</v>
      </c>
      <c r="K6" s="24">
        <f>IF(G6="","",IFERROR(INDEX(tblFlavors[vCPU],MATCH(G6,tblFlavors[Flavor],0)),""))</f>
        <v>32</v>
      </c>
      <c r="L6" s="24">
        <f>IF(G6="","",IFERROR(INDEX(tblFlavors[RAM (Go)],MATCH(G6,tblFlavors[Flavor],0)),""))</f>
        <v>80</v>
      </c>
      <c r="M6" s="25">
        <f t="shared" si="1"/>
        <v>192</v>
      </c>
      <c r="N6" s="25">
        <f t="shared" si="2"/>
        <v>480</v>
      </c>
      <c r="O6" s="24">
        <f ca="1">SUMIFS(tblApplications[CPU cible ROKS],tblApplications[Cluster ROKS cible (auto)],B6,tblApplications[Inclus projection O/N],"O")</f>
        <v>19</v>
      </c>
      <c r="P6" s="24">
        <f ca="1">SUMIFS(tblApplications[RAM cible ROKS],tblApplications[Cluster ROKS cible (auto)],B6,tblApplications[Inclus projection O/N],"O")</f>
        <v>70</v>
      </c>
      <c r="Q6" s="25">
        <f t="shared" ca="1" si="3"/>
        <v>19</v>
      </c>
      <c r="R6" s="25">
        <f t="shared" ca="1" si="4"/>
        <v>70</v>
      </c>
      <c r="S6" s="26">
        <f t="shared" ca="1" si="5"/>
        <v>9.8958333333333329E-2</v>
      </c>
      <c r="T6" s="26">
        <f t="shared" ca="1" si="6"/>
        <v>0.14583333333333334</v>
      </c>
      <c r="U6" s="22" t="str">
        <f ca="1">IF(M6=0,IF(Q6&gt;0,"Cluster sans capacite provisionnee","n/a"),IF(OR(S6&gt;=Clusters_ROKS!$AC$5,T6&gt;=Clusters_ROKS!$AC$5,H6&gt;=Clusters_ROKS!$AC$6),"Seuil depasse","OK"))</f>
        <v>OK</v>
      </c>
      <c r="V6" s="27" t="str">
        <f ca="1">IF(COUNTIFS(tblProjection[Cluster],B6,tblProjection[Statut],"Seuil depasse")&gt;0,"O","N")</f>
        <v>N</v>
      </c>
      <c r="W6" s="28" t="str">
        <f>IF(G6="","",IFERROR(INDEX(tblFlavors[Famille],MATCH(G6,tblFlavors[Flavor],0)),""))</f>
        <v>cx3d</v>
      </c>
      <c r="X6" s="24">
        <f>IF(W6="","",_xlfn.MAXIFS(tblFlavors[vCPU],tblFlavors[Famille],W6))</f>
        <v>96</v>
      </c>
      <c r="Y6" s="22" t="str">
        <f t="shared" si="7"/>
        <v>N</v>
      </c>
      <c r="Z6" s="28" t="str">
        <f>IF(OR(W6="",Y6="O"),"",IFERROR(INDEX(tblFlavors[Flavor],MATCH(W6&amp;"|"&amp;_xlfn.MINIFS(tblFlavors[vCPU],tblFlavors[Famille],W6,tblFlavors[vCPU],"&gt;"&amp;K6),tblFlavors[Cle Famille vCPU],0)),""))</f>
        <v>cx3d.96x240</v>
      </c>
      <c r="AB6" s="29" t="s">
        <v>158</v>
      </c>
      <c r="AC6" s="31">
        <v>12</v>
      </c>
    </row>
    <row r="7" spans="1:29" x14ac:dyDescent="0.2">
      <c r="A7" s="32" t="s">
        <v>155</v>
      </c>
      <c r="B7" s="32" t="s">
        <v>159</v>
      </c>
      <c r="C7" s="32" t="s">
        <v>95</v>
      </c>
      <c r="D7" s="32" t="s">
        <v>160</v>
      </c>
      <c r="E7" s="22" t="str">
        <f t="shared" si="0"/>
        <v>Mutualise</v>
      </c>
      <c r="F7" s="32" t="s">
        <v>157</v>
      </c>
      <c r="G7" s="32" t="s">
        <v>99</v>
      </c>
      <c r="H7" s="33">
        <v>6</v>
      </c>
      <c r="I7" s="23">
        <v>0</v>
      </c>
      <c r="J7" s="23">
        <v>0</v>
      </c>
      <c r="K7" s="24">
        <f>IF(G7="","",IFERROR(INDEX(tblFlavors[vCPU],MATCH(G7,tblFlavors[Flavor],0)),""))</f>
        <v>16</v>
      </c>
      <c r="L7" s="24">
        <f>IF(G7="","",IFERROR(INDEX(tblFlavors[RAM (Go)],MATCH(G7,tblFlavors[Flavor],0)),""))</f>
        <v>80</v>
      </c>
      <c r="M7" s="25">
        <f t="shared" si="1"/>
        <v>96</v>
      </c>
      <c r="N7" s="25">
        <f t="shared" si="2"/>
        <v>480</v>
      </c>
      <c r="O7" s="24">
        <f ca="1">SUMIFS(tblApplications[CPU cible ROKS],tblApplications[Cluster ROKS cible (auto)],B7,tblApplications[Inclus projection O/N],"O")</f>
        <v>0</v>
      </c>
      <c r="P7" s="24">
        <f ca="1">SUMIFS(tblApplications[RAM cible ROKS],tblApplications[Cluster ROKS cible (auto)],B7,tblApplications[Inclus projection O/N],"O")</f>
        <v>0</v>
      </c>
      <c r="Q7" s="25">
        <f t="shared" ca="1" si="3"/>
        <v>0</v>
      </c>
      <c r="R7" s="25">
        <f t="shared" ca="1" si="4"/>
        <v>0</v>
      </c>
      <c r="S7" s="26">
        <f t="shared" ca="1" si="5"/>
        <v>0</v>
      </c>
      <c r="T7" s="26">
        <f t="shared" ca="1" si="6"/>
        <v>0</v>
      </c>
      <c r="U7" s="22" t="str">
        <f ca="1">IF(M7=0,IF(Q7&gt;0,"Cluster sans capacite provisionnee","n/a"),IF(OR(S7&gt;=Clusters_ROKS!$AC$5,T7&gt;=Clusters_ROKS!$AC$5,H7&gt;=Clusters_ROKS!$AC$6),"Seuil depasse","OK"))</f>
        <v>OK</v>
      </c>
      <c r="V7" s="27" t="str">
        <f ca="1">IF(COUNTIFS(tblProjection[Cluster],B7,tblProjection[Statut],"Seuil depasse")&gt;0,"O","N")</f>
        <v>N</v>
      </c>
      <c r="W7" s="28" t="str">
        <f>IF(G7="","",IFERROR(INDEX(tblFlavors[Famille],MATCH(G7,tblFlavors[Flavor],0)),""))</f>
        <v>bx3d</v>
      </c>
      <c r="X7" s="24">
        <f>IF(W7="","",_xlfn.MAXIFS(tblFlavors[vCPU],tblFlavors[Famille],W7))</f>
        <v>48</v>
      </c>
      <c r="Y7" s="22" t="str">
        <f t="shared" si="7"/>
        <v>N</v>
      </c>
      <c r="Z7" s="28" t="str">
        <f>IF(OR(W7="",Y7="O"),"",IFERROR(INDEX(tblFlavors[Flavor],MATCH(W7&amp;"|"&amp;_xlfn.MINIFS(tblFlavors[vCPU],tblFlavors[Famille],W7,tblFlavors[vCPU],"&gt;"&amp;K7),tblFlavors[Cle Famille vCPU],0)),""))</f>
        <v>bx3d.32x160</v>
      </c>
    </row>
    <row r="8" spans="1:29" x14ac:dyDescent="0.2">
      <c r="A8" s="32" t="s">
        <v>150</v>
      </c>
      <c r="B8" s="32" t="s">
        <v>161</v>
      </c>
      <c r="C8" s="32" t="s">
        <v>95</v>
      </c>
      <c r="D8" s="32" t="s">
        <v>160</v>
      </c>
      <c r="E8" s="22" t="str">
        <f t="shared" si="0"/>
        <v>Mutualise</v>
      </c>
      <c r="F8" s="32" t="s">
        <v>153</v>
      </c>
      <c r="G8" s="32" t="s">
        <v>97</v>
      </c>
      <c r="H8" s="33">
        <v>6</v>
      </c>
      <c r="I8" s="23">
        <v>0</v>
      </c>
      <c r="J8" s="23">
        <v>0</v>
      </c>
      <c r="K8" s="24">
        <f>IF(G8="","",IFERROR(INDEX(tblFlavors[vCPU],MATCH(G8,tblFlavors[Flavor],0)),""))</f>
        <v>8</v>
      </c>
      <c r="L8" s="24">
        <f>IF(G8="","",IFERROR(INDEX(tblFlavors[RAM (Go)],MATCH(G8,tblFlavors[Flavor],0)),""))</f>
        <v>40</v>
      </c>
      <c r="M8" s="25">
        <f t="shared" si="1"/>
        <v>48</v>
      </c>
      <c r="N8" s="25">
        <f t="shared" si="2"/>
        <v>240</v>
      </c>
      <c r="O8" s="24">
        <f ca="1">SUMIFS(tblApplications[CPU cible ROKS],tblApplications[Cluster ROKS cible (auto)],B8,tblApplications[Inclus projection O/N],"O")</f>
        <v>0</v>
      </c>
      <c r="P8" s="24">
        <f ca="1">SUMIFS(tblApplications[RAM cible ROKS],tblApplications[Cluster ROKS cible (auto)],B8,tblApplications[Inclus projection O/N],"O")</f>
        <v>0</v>
      </c>
      <c r="Q8" s="25">
        <f t="shared" ca="1" si="3"/>
        <v>0</v>
      </c>
      <c r="R8" s="25">
        <f t="shared" ca="1" si="4"/>
        <v>0</v>
      </c>
      <c r="S8" s="26">
        <f t="shared" ca="1" si="5"/>
        <v>0</v>
      </c>
      <c r="T8" s="26">
        <f t="shared" ca="1" si="6"/>
        <v>0</v>
      </c>
      <c r="U8" s="22" t="str">
        <f ca="1">IF(M8=0,IF(Q8&gt;0,"Cluster sans capacite provisionnee","n/a"),IF(OR(S8&gt;=Clusters_ROKS!$AC$5,T8&gt;=Clusters_ROKS!$AC$5,H8&gt;=Clusters_ROKS!$AC$6),"Seuil depasse","OK"))</f>
        <v>OK</v>
      </c>
      <c r="V8" s="27" t="str">
        <f ca="1">IF(COUNTIFS(tblProjection[Cluster],B8,tblProjection[Statut],"Seuil depasse")&gt;0,"O","N")</f>
        <v>N</v>
      </c>
      <c r="W8" s="28" t="str">
        <f>IF(G8="","",IFERROR(INDEX(tblFlavors[Famille],MATCH(G8,tblFlavors[Flavor],0)),""))</f>
        <v>bx3d</v>
      </c>
      <c r="X8" s="24">
        <f>IF(W8="","",_xlfn.MAXIFS(tblFlavors[vCPU],tblFlavors[Famille],W8))</f>
        <v>48</v>
      </c>
      <c r="Y8" s="22" t="str">
        <f t="shared" si="7"/>
        <v>N</v>
      </c>
      <c r="Z8" s="28" t="str">
        <f>IF(OR(W8="",Y8="O"),"",IFERROR(INDEX(tblFlavors[Flavor],MATCH(W8&amp;"|"&amp;_xlfn.MINIFS(tblFlavors[vCPU],tblFlavors[Famille],W8,tblFlavors[vCPU],"&gt;"&amp;K8),tblFlavors[Cle Famille vCPU],0)),""))</f>
        <v>bx3d.16x80</v>
      </c>
    </row>
    <row r="9" spans="1:29" x14ac:dyDescent="0.2">
      <c r="A9" s="16" t="s">
        <v>162</v>
      </c>
      <c r="B9" s="16" t="s">
        <v>163</v>
      </c>
      <c r="C9" s="16" t="s">
        <v>95</v>
      </c>
      <c r="D9" s="16" t="s">
        <v>164</v>
      </c>
      <c r="E9" s="22" t="str">
        <f t="shared" si="0"/>
        <v>Dedie</v>
      </c>
      <c r="F9" s="16" t="s">
        <v>153</v>
      </c>
      <c r="G9" s="16" t="s">
        <v>97</v>
      </c>
      <c r="H9" s="17">
        <v>6</v>
      </c>
      <c r="I9" s="23">
        <v>0</v>
      </c>
      <c r="J9" s="23">
        <v>0</v>
      </c>
      <c r="K9" s="24">
        <f>IF(G9="","",IFERROR(INDEX(tblFlavors[vCPU],MATCH(G9,tblFlavors[Flavor],0)),""))</f>
        <v>8</v>
      </c>
      <c r="L9" s="24">
        <f>IF(G9="","",IFERROR(INDEX(tblFlavors[RAM (Go)],MATCH(G9,tblFlavors[Flavor],0)),""))</f>
        <v>40</v>
      </c>
      <c r="M9" s="25">
        <f t="shared" si="1"/>
        <v>48</v>
      </c>
      <c r="N9" s="25">
        <f t="shared" si="2"/>
        <v>240</v>
      </c>
      <c r="O9" s="24">
        <f ca="1">SUMIFS(tblApplications[CPU cible ROKS],tblApplications[Cluster ROKS cible (auto)],B9,tblApplications[Inclus projection O/N],"O")</f>
        <v>0</v>
      </c>
      <c r="P9" s="24">
        <f ca="1">SUMIFS(tblApplications[RAM cible ROKS],tblApplications[Cluster ROKS cible (auto)],B9,tblApplications[Inclus projection O/N],"O")</f>
        <v>0</v>
      </c>
      <c r="Q9" s="25">
        <f t="shared" ca="1" si="3"/>
        <v>0</v>
      </c>
      <c r="R9" s="25">
        <f t="shared" ca="1" si="4"/>
        <v>0</v>
      </c>
      <c r="S9" s="26">
        <f t="shared" ca="1" si="5"/>
        <v>0</v>
      </c>
      <c r="T9" s="26">
        <f t="shared" ca="1" si="6"/>
        <v>0</v>
      </c>
      <c r="U9" s="22" t="str">
        <f ca="1">IF(M9=0,IF(Q9&gt;0,"Cluster sans capacite provisionnee","n/a"),IF(OR(S9&gt;=Clusters_ROKS!$AC$5,T9&gt;=Clusters_ROKS!$AC$5,H9&gt;=Clusters_ROKS!$AC$6),"Seuil depasse","OK"))</f>
        <v>OK</v>
      </c>
      <c r="V9" s="27" t="str">
        <f ca="1">IF(COUNTIFS(tblProjection[Cluster],B9,tblProjection[Statut],"Seuil depasse")&gt;0,"O","N")</f>
        <v>N</v>
      </c>
      <c r="W9" s="28" t="str">
        <f>IF(G9="","",IFERROR(INDEX(tblFlavors[Famille],MATCH(G9,tblFlavors[Flavor],0)),""))</f>
        <v>bx3d</v>
      </c>
      <c r="X9" s="24">
        <f>IF(W9="","",_xlfn.MAXIFS(tblFlavors[vCPU],tblFlavors[Famille],W9))</f>
        <v>48</v>
      </c>
      <c r="Y9" s="22" t="str">
        <f t="shared" si="7"/>
        <v>N</v>
      </c>
      <c r="Z9" s="28" t="str">
        <f>IF(OR(W9="",Y9="O"),"",IFERROR(INDEX(tblFlavors[Flavor],MATCH(W9&amp;"|"&amp;_xlfn.MINIFS(tblFlavors[vCPU],tblFlavors[Famille],W9,tblFlavors[vCPU],"&gt;"&amp;K9),tblFlavors[Cle Famille vCPU],0)),""))</f>
        <v>bx3d.16x80</v>
      </c>
    </row>
    <row r="10" spans="1:29" x14ac:dyDescent="0.2">
      <c r="A10" s="16" t="s">
        <v>165</v>
      </c>
      <c r="B10" s="16" t="s">
        <v>166</v>
      </c>
      <c r="C10" s="16" t="s">
        <v>95</v>
      </c>
      <c r="D10" s="16" t="s">
        <v>167</v>
      </c>
      <c r="E10" s="22" t="str">
        <f t="shared" si="0"/>
        <v>Dedie</v>
      </c>
      <c r="F10" s="16" t="s">
        <v>157</v>
      </c>
      <c r="G10" s="16" t="s">
        <v>97</v>
      </c>
      <c r="H10" s="17">
        <v>6</v>
      </c>
      <c r="I10" s="23">
        <v>0</v>
      </c>
      <c r="J10" s="23">
        <v>0</v>
      </c>
      <c r="K10" s="24">
        <f>IF(G10="","",IFERROR(INDEX(tblFlavors[vCPU],MATCH(G10,tblFlavors[Flavor],0)),""))</f>
        <v>8</v>
      </c>
      <c r="L10" s="24">
        <f>IF(G10="","",IFERROR(INDEX(tblFlavors[RAM (Go)],MATCH(G10,tblFlavors[Flavor],0)),""))</f>
        <v>40</v>
      </c>
      <c r="M10" s="25">
        <f t="shared" si="1"/>
        <v>48</v>
      </c>
      <c r="N10" s="25">
        <f t="shared" si="2"/>
        <v>240</v>
      </c>
      <c r="O10" s="24">
        <f ca="1">SUMIFS(tblApplications[CPU cible ROKS],tblApplications[Cluster ROKS cible (auto)],B10,tblApplications[Inclus projection O/N],"O")</f>
        <v>0</v>
      </c>
      <c r="P10" s="24">
        <f ca="1">SUMIFS(tblApplications[RAM cible ROKS],tblApplications[Cluster ROKS cible (auto)],B10,tblApplications[Inclus projection O/N],"O")</f>
        <v>0</v>
      </c>
      <c r="Q10" s="25">
        <f t="shared" ca="1" si="3"/>
        <v>0</v>
      </c>
      <c r="R10" s="25">
        <f t="shared" ca="1" si="4"/>
        <v>0</v>
      </c>
      <c r="S10" s="26">
        <f t="shared" ca="1" si="5"/>
        <v>0</v>
      </c>
      <c r="T10" s="26">
        <f t="shared" ca="1" si="6"/>
        <v>0</v>
      </c>
      <c r="U10" s="22" t="str">
        <f ca="1">IF(M10=0,IF(Q10&gt;0,"Cluster sans capacite provisionnee","n/a"),IF(OR(S10&gt;=Clusters_ROKS!$AC$5,T10&gt;=Clusters_ROKS!$AC$5,H10&gt;=Clusters_ROKS!$AC$6),"Seuil depasse","OK"))</f>
        <v>OK</v>
      </c>
      <c r="V10" s="27" t="str">
        <f ca="1">IF(COUNTIFS(tblProjection[Cluster],B10,tblProjection[Statut],"Seuil depasse")&gt;0,"O","N")</f>
        <v>N</v>
      </c>
      <c r="W10" s="28" t="str">
        <f>IF(G10="","",IFERROR(INDEX(tblFlavors[Famille],MATCH(G10,tblFlavors[Flavor],0)),""))</f>
        <v>bx3d</v>
      </c>
      <c r="X10" s="24">
        <f>IF(W10="","",_xlfn.MAXIFS(tblFlavors[vCPU],tblFlavors[Famille],W10))</f>
        <v>48</v>
      </c>
      <c r="Y10" s="22" t="str">
        <f t="shared" si="7"/>
        <v>N</v>
      </c>
      <c r="Z10" s="28" t="str">
        <f>IF(OR(W10="",Y10="O"),"",IFERROR(INDEX(tblFlavors[Flavor],MATCH(W10&amp;"|"&amp;_xlfn.MINIFS(tblFlavors[vCPU],tblFlavors[Famille],W10,tblFlavors[vCPU],"&gt;"&amp;K10),tblFlavors[Cle Famille vCPU],0)),""))</f>
        <v>bx3d.16x80</v>
      </c>
    </row>
    <row r="11" spans="1:29" x14ac:dyDescent="0.2">
      <c r="A11" s="16"/>
      <c r="B11" s="16" t="s">
        <v>168</v>
      </c>
      <c r="C11" s="16" t="s">
        <v>95</v>
      </c>
      <c r="D11" s="16" t="s">
        <v>169</v>
      </c>
      <c r="E11" s="22" t="str">
        <f t="shared" si="0"/>
        <v>Dedie</v>
      </c>
      <c r="F11" s="16" t="s">
        <v>153</v>
      </c>
      <c r="G11" s="16" t="s">
        <v>97</v>
      </c>
      <c r="H11" s="17">
        <v>6</v>
      </c>
      <c r="I11" s="23">
        <v>0</v>
      </c>
      <c r="J11" s="23">
        <v>0</v>
      </c>
      <c r="K11" s="24">
        <f>IF(G11="","",IFERROR(INDEX(tblFlavors[vCPU],MATCH(G11,tblFlavors[Flavor],0)),""))</f>
        <v>8</v>
      </c>
      <c r="L11" s="24">
        <f>IF(G11="","",IFERROR(INDEX(tblFlavors[RAM (Go)],MATCH(G11,tblFlavors[Flavor],0)),""))</f>
        <v>40</v>
      </c>
      <c r="M11" s="25">
        <f t="shared" si="1"/>
        <v>48</v>
      </c>
      <c r="N11" s="25">
        <f t="shared" si="2"/>
        <v>240</v>
      </c>
      <c r="O11" s="24">
        <f ca="1">SUMIFS(tblApplications[CPU cible ROKS],tblApplications[Cluster ROKS cible (auto)],B11,tblApplications[Inclus projection O/N],"O")</f>
        <v>0</v>
      </c>
      <c r="P11" s="24">
        <f ca="1">SUMIFS(tblApplications[RAM cible ROKS],tblApplications[Cluster ROKS cible (auto)],B11,tblApplications[Inclus projection O/N],"O")</f>
        <v>0</v>
      </c>
      <c r="Q11" s="25">
        <f t="shared" ca="1" si="3"/>
        <v>0</v>
      </c>
      <c r="R11" s="25">
        <f t="shared" ca="1" si="4"/>
        <v>0</v>
      </c>
      <c r="S11" s="26">
        <f t="shared" ca="1" si="5"/>
        <v>0</v>
      </c>
      <c r="T11" s="26">
        <f t="shared" ca="1" si="6"/>
        <v>0</v>
      </c>
      <c r="U11" s="22" t="str">
        <f ca="1">IF(M11=0,IF(Q11&gt;0,"Cluster sans capacite provisionnee","n/a"),IF(OR(S11&gt;=Clusters_ROKS!$AC$5,T11&gt;=Clusters_ROKS!$AC$5,H11&gt;=Clusters_ROKS!$AC$6),"Seuil depasse","OK"))</f>
        <v>OK</v>
      </c>
      <c r="V11" s="27" t="str">
        <f ca="1">IF(COUNTIFS(tblProjection[Cluster],B11,tblProjection[Statut],"Seuil depasse")&gt;0,"O","N")</f>
        <v>N</v>
      </c>
      <c r="W11" s="28" t="str">
        <f>IF(G11="","",IFERROR(INDEX(tblFlavors[Famille],MATCH(G11,tblFlavors[Flavor],0)),""))</f>
        <v>bx3d</v>
      </c>
      <c r="X11" s="24">
        <f>IF(W11="","",_xlfn.MAXIFS(tblFlavors[vCPU],tblFlavors[Famille],W11))</f>
        <v>48</v>
      </c>
      <c r="Y11" s="22" t="str">
        <f t="shared" si="7"/>
        <v>N</v>
      </c>
      <c r="Z11" s="28" t="str">
        <f>IF(OR(W11="",Y11="O"),"",IFERROR(INDEX(tblFlavors[Flavor],MATCH(W11&amp;"|"&amp;_xlfn.MINIFS(tblFlavors[vCPU],tblFlavors[Famille],W11,tblFlavors[vCPU],"&gt;"&amp;K11),tblFlavors[Cle Famille vCPU],0)),""))</f>
        <v>bx3d.16x80</v>
      </c>
    </row>
    <row r="12" spans="1:29" x14ac:dyDescent="0.2">
      <c r="A12" s="16" t="s">
        <v>155</v>
      </c>
      <c r="B12" s="16" t="s">
        <v>170</v>
      </c>
      <c r="C12" s="16" t="s">
        <v>95</v>
      </c>
      <c r="D12" s="16" t="s">
        <v>169</v>
      </c>
      <c r="E12" s="22" t="str">
        <f t="shared" si="0"/>
        <v>Dedie</v>
      </c>
      <c r="F12" s="16" t="s">
        <v>157</v>
      </c>
      <c r="G12" s="16"/>
      <c r="H12" s="17">
        <v>0</v>
      </c>
      <c r="I12" s="23">
        <v>0</v>
      </c>
      <c r="J12" s="23">
        <v>0</v>
      </c>
      <c r="K12" s="24" t="str">
        <f>IF(G12="","",IFERROR(INDEX(tblFlavors[vCPU],MATCH(G12,tblFlavors[Flavor],0)),""))</f>
        <v/>
      </c>
      <c r="L12" s="24" t="str">
        <f>IF(G12="","",IFERROR(INDEX(tblFlavors[RAM (Go)],MATCH(G12,tblFlavors[Flavor],0)),""))</f>
        <v/>
      </c>
      <c r="M12" s="25">
        <f t="shared" si="1"/>
        <v>0</v>
      </c>
      <c r="N12" s="25">
        <f t="shared" si="2"/>
        <v>0</v>
      </c>
      <c r="O12" s="24">
        <f ca="1">SUMIFS(tblApplications[CPU cible ROKS],tblApplications[Cluster ROKS cible (auto)],B12,tblApplications[Inclus projection O/N],"O")</f>
        <v>0</v>
      </c>
      <c r="P12" s="24">
        <f ca="1">SUMIFS(tblApplications[RAM cible ROKS],tblApplications[Cluster ROKS cible (auto)],B12,tblApplications[Inclus projection O/N],"O")</f>
        <v>0</v>
      </c>
      <c r="Q12" s="25">
        <f t="shared" ca="1" si="3"/>
        <v>0</v>
      </c>
      <c r="R12" s="25">
        <f t="shared" ca="1" si="4"/>
        <v>0</v>
      </c>
      <c r="S12" s="26" t="str">
        <f t="shared" si="5"/>
        <v/>
      </c>
      <c r="T12" s="26" t="str">
        <f t="shared" si="6"/>
        <v/>
      </c>
      <c r="U12" s="22" t="str">
        <f ca="1">IF(M12=0,IF(Q12&gt;0,"Cluster sans capacite provisionnee","n/a"),IF(OR(S12&gt;=Clusters_ROKS!$AC$5,T12&gt;=Clusters_ROKS!$AC$5,H12&gt;=Clusters_ROKS!$AC$6),"Seuil depasse","OK"))</f>
        <v>n/a</v>
      </c>
      <c r="V12" s="27" t="str">
        <f ca="1">IF(COUNTIFS(tblProjection[Cluster],B12,tblProjection[Statut],"Seuil depasse")&gt;0,"O","N")</f>
        <v>N</v>
      </c>
      <c r="W12" s="28" t="str">
        <f>IF(G12="","",IFERROR(INDEX(tblFlavors[Famille],MATCH(G12,tblFlavors[Flavor],0)),""))</f>
        <v/>
      </c>
      <c r="X12" s="24" t="str">
        <f>IF(W12="","",_xlfn.MAXIFS(tblFlavors[vCPU],tblFlavors[Famille],W12))</f>
        <v/>
      </c>
      <c r="Y12" s="22" t="str">
        <f t="shared" si="7"/>
        <v/>
      </c>
      <c r="Z12" s="28" t="str">
        <f>IF(OR(W12="",Y12="O"),"",IFERROR(INDEX(tblFlavors[Flavor],MATCH(W12&amp;"|"&amp;_xlfn.MINIFS(tblFlavors[vCPU],tblFlavors[Famille],W12,tblFlavors[vCPU],"&gt;"&amp;K12),tblFlavors[Cle Famille vCPU],0)),""))</f>
        <v/>
      </c>
    </row>
    <row r="13" spans="1:29" x14ac:dyDescent="0.2">
      <c r="A13" s="16"/>
      <c r="B13" s="16" t="s">
        <v>171</v>
      </c>
      <c r="C13" s="16" t="s">
        <v>95</v>
      </c>
      <c r="D13" s="16" t="s">
        <v>172</v>
      </c>
      <c r="E13" s="22" t="str">
        <f t="shared" si="0"/>
        <v>Dedie</v>
      </c>
      <c r="F13" s="16" t="s">
        <v>157</v>
      </c>
      <c r="G13" s="16"/>
      <c r="H13" s="17">
        <v>0</v>
      </c>
      <c r="I13" s="23">
        <v>0</v>
      </c>
      <c r="J13" s="23">
        <v>0</v>
      </c>
      <c r="K13" s="24" t="str">
        <f>IF(G13="","",IFERROR(INDEX(tblFlavors[vCPU],MATCH(G13,tblFlavors[Flavor],0)),""))</f>
        <v/>
      </c>
      <c r="L13" s="24" t="str">
        <f>IF(G13="","",IFERROR(INDEX(tblFlavors[RAM (Go)],MATCH(G13,tblFlavors[Flavor],0)),""))</f>
        <v/>
      </c>
      <c r="M13" s="25">
        <f t="shared" si="1"/>
        <v>0</v>
      </c>
      <c r="N13" s="25">
        <f t="shared" si="2"/>
        <v>0</v>
      </c>
      <c r="O13" s="24">
        <f ca="1">SUMIFS(tblApplications[CPU cible ROKS],tblApplications[Cluster ROKS cible (auto)],B13,tblApplications[Inclus projection O/N],"O")</f>
        <v>0</v>
      </c>
      <c r="P13" s="24">
        <f ca="1">SUMIFS(tblApplications[RAM cible ROKS],tblApplications[Cluster ROKS cible (auto)],B13,tblApplications[Inclus projection O/N],"O")</f>
        <v>0</v>
      </c>
      <c r="Q13" s="25">
        <f t="shared" ca="1" si="3"/>
        <v>0</v>
      </c>
      <c r="R13" s="25">
        <f t="shared" ca="1" si="4"/>
        <v>0</v>
      </c>
      <c r="S13" s="26" t="str">
        <f t="shared" si="5"/>
        <v/>
      </c>
      <c r="T13" s="26" t="str">
        <f t="shared" si="6"/>
        <v/>
      </c>
      <c r="U13" s="22" t="str">
        <f ca="1">IF(M13=0,IF(Q13&gt;0,"Cluster sans capacite provisionnee","n/a"),IF(OR(S13&gt;=Clusters_ROKS!$AC$5,T13&gt;=Clusters_ROKS!$AC$5,H13&gt;=Clusters_ROKS!$AC$6),"Seuil depasse","OK"))</f>
        <v>n/a</v>
      </c>
      <c r="V13" s="27" t="str">
        <f ca="1">IF(COUNTIFS(tblProjection[Cluster],B13,tblProjection[Statut],"Seuil depasse")&gt;0,"O","N")</f>
        <v>N</v>
      </c>
      <c r="W13" s="28" t="str">
        <f>IF(G13="","",IFERROR(INDEX(tblFlavors[Famille],MATCH(G13,tblFlavors[Flavor],0)),""))</f>
        <v/>
      </c>
      <c r="X13" s="24" t="str">
        <f>IF(W13="","",_xlfn.MAXIFS(tblFlavors[vCPU],tblFlavors[Famille],W13))</f>
        <v/>
      </c>
      <c r="Y13" s="22" t="str">
        <f t="shared" si="7"/>
        <v/>
      </c>
      <c r="Z13" s="28" t="str">
        <f>IF(OR(W13="",Y13="O"),"",IFERROR(INDEX(tblFlavors[Flavor],MATCH(W13&amp;"|"&amp;_xlfn.MINIFS(tblFlavors[vCPU],tblFlavors[Famille],W13,tblFlavors[vCPU],"&gt;"&amp;K13),tblFlavors[Cle Famille vCPU],0)),""))</f>
        <v/>
      </c>
    </row>
    <row r="14" spans="1:29" x14ac:dyDescent="0.2">
      <c r="A14" s="16" t="s">
        <v>150</v>
      </c>
      <c r="B14" s="16" t="s">
        <v>173</v>
      </c>
      <c r="C14" s="16" t="s">
        <v>95</v>
      </c>
      <c r="D14" s="16" t="s">
        <v>172</v>
      </c>
      <c r="E14" s="22" t="str">
        <f t="shared" si="0"/>
        <v>Dedie</v>
      </c>
      <c r="F14" s="16" t="s">
        <v>157</v>
      </c>
      <c r="G14" s="16" t="s">
        <v>97</v>
      </c>
      <c r="H14" s="17">
        <v>6</v>
      </c>
      <c r="I14" s="23">
        <v>0</v>
      </c>
      <c r="J14" s="23">
        <v>0</v>
      </c>
      <c r="K14" s="24">
        <f>IF(G14="","",IFERROR(INDEX(tblFlavors[vCPU],MATCH(G14,tblFlavors[Flavor],0)),""))</f>
        <v>8</v>
      </c>
      <c r="L14" s="24">
        <f>IF(G14="","",IFERROR(INDEX(tblFlavors[RAM (Go)],MATCH(G14,tblFlavors[Flavor],0)),""))</f>
        <v>40</v>
      </c>
      <c r="M14" s="25">
        <f t="shared" si="1"/>
        <v>48</v>
      </c>
      <c r="N14" s="25">
        <f t="shared" si="2"/>
        <v>240</v>
      </c>
      <c r="O14" s="24">
        <f ca="1">SUMIFS(tblApplications[CPU cible ROKS],tblApplications[Cluster ROKS cible (auto)],B14,tblApplications[Inclus projection O/N],"O")</f>
        <v>0</v>
      </c>
      <c r="P14" s="24">
        <f ca="1">SUMIFS(tblApplications[RAM cible ROKS],tblApplications[Cluster ROKS cible (auto)],B14,tblApplications[Inclus projection O/N],"O")</f>
        <v>0</v>
      </c>
      <c r="Q14" s="25">
        <f t="shared" ca="1" si="3"/>
        <v>0</v>
      </c>
      <c r="R14" s="25">
        <f t="shared" ca="1" si="4"/>
        <v>0</v>
      </c>
      <c r="S14" s="26">
        <f t="shared" ca="1" si="5"/>
        <v>0</v>
      </c>
      <c r="T14" s="26">
        <f t="shared" ca="1" si="6"/>
        <v>0</v>
      </c>
      <c r="U14" s="22" t="str">
        <f ca="1">IF(M14=0,IF(Q14&gt;0,"Cluster sans capacite provisionnee","n/a"),IF(OR(S14&gt;=Clusters_ROKS!$AC$5,T14&gt;=Clusters_ROKS!$AC$5,H14&gt;=Clusters_ROKS!$AC$6),"Seuil depasse","OK"))</f>
        <v>OK</v>
      </c>
      <c r="V14" s="27" t="str">
        <f ca="1">IF(COUNTIFS(tblProjection[Cluster],B14,tblProjection[Statut],"Seuil depasse")&gt;0,"O","N")</f>
        <v>N</v>
      </c>
      <c r="W14" s="28" t="str">
        <f>IF(G14="","",IFERROR(INDEX(tblFlavors[Famille],MATCH(G14,tblFlavors[Flavor],0)),""))</f>
        <v>bx3d</v>
      </c>
      <c r="X14" s="24">
        <f>IF(W14="","",_xlfn.MAXIFS(tblFlavors[vCPU],tblFlavors[Famille],W14))</f>
        <v>48</v>
      </c>
      <c r="Y14" s="22" t="str">
        <f t="shared" si="7"/>
        <v>N</v>
      </c>
      <c r="Z14" s="28" t="str">
        <f>IF(OR(W14="",Y14="O"),"",IFERROR(INDEX(tblFlavors[Flavor],MATCH(W14&amp;"|"&amp;_xlfn.MINIFS(tblFlavors[vCPU],tblFlavors[Famille],W14,tblFlavors[vCPU],"&gt;"&amp;K14),tblFlavors[Cle Famille vCPU],0)),""))</f>
        <v>bx3d.16x80</v>
      </c>
    </row>
    <row r="15" spans="1:29" x14ac:dyDescent="0.2">
      <c r="A15" s="16" t="s">
        <v>155</v>
      </c>
      <c r="B15" s="16" t="s">
        <v>174</v>
      </c>
      <c r="C15" s="16" t="s">
        <v>95</v>
      </c>
      <c r="D15" s="16" t="s">
        <v>175</v>
      </c>
      <c r="E15" s="22" t="str">
        <f t="shared" si="0"/>
        <v>Dedie</v>
      </c>
      <c r="F15" s="16" t="s">
        <v>153</v>
      </c>
      <c r="G15" s="16" t="s">
        <v>97</v>
      </c>
      <c r="H15" s="17">
        <v>6</v>
      </c>
      <c r="I15" s="23">
        <v>0</v>
      </c>
      <c r="J15" s="23">
        <v>0</v>
      </c>
      <c r="K15" s="24">
        <f>IF(G15="","",IFERROR(INDEX(tblFlavors[vCPU],MATCH(G15,tblFlavors[Flavor],0)),""))</f>
        <v>8</v>
      </c>
      <c r="L15" s="24">
        <f>IF(G15="","",IFERROR(INDEX(tblFlavors[RAM (Go)],MATCH(G15,tblFlavors[Flavor],0)),""))</f>
        <v>40</v>
      </c>
      <c r="M15" s="25">
        <f t="shared" si="1"/>
        <v>48</v>
      </c>
      <c r="N15" s="25">
        <f t="shared" si="2"/>
        <v>240</v>
      </c>
      <c r="O15" s="24">
        <f ca="1">SUMIFS(tblApplications[CPU cible ROKS],tblApplications[Cluster ROKS cible (auto)],B15,tblApplications[Inclus projection O/N],"O")</f>
        <v>0</v>
      </c>
      <c r="P15" s="24">
        <f ca="1">SUMIFS(tblApplications[RAM cible ROKS],tblApplications[Cluster ROKS cible (auto)],B15,tblApplications[Inclus projection O/N],"O")</f>
        <v>0</v>
      </c>
      <c r="Q15" s="25">
        <f t="shared" ca="1" si="3"/>
        <v>0</v>
      </c>
      <c r="R15" s="25">
        <f t="shared" ca="1" si="4"/>
        <v>0</v>
      </c>
      <c r="S15" s="26">
        <f t="shared" ca="1" si="5"/>
        <v>0</v>
      </c>
      <c r="T15" s="26">
        <f t="shared" ca="1" si="6"/>
        <v>0</v>
      </c>
      <c r="U15" s="22" t="str">
        <f ca="1">IF(M15=0,IF(Q15&gt;0,"Cluster sans capacite provisionnee","n/a"),IF(OR(S15&gt;=Clusters_ROKS!$AC$5,T15&gt;=Clusters_ROKS!$AC$5,H15&gt;=Clusters_ROKS!$AC$6),"Seuil depasse","OK"))</f>
        <v>OK</v>
      </c>
      <c r="V15" s="27" t="str">
        <f ca="1">IF(COUNTIFS(tblProjection[Cluster],B15,tblProjection[Statut],"Seuil depasse")&gt;0,"O","N")</f>
        <v>N</v>
      </c>
      <c r="W15" s="28" t="str">
        <f>IF(G15="","",IFERROR(INDEX(tblFlavors[Famille],MATCH(G15,tblFlavors[Flavor],0)),""))</f>
        <v>bx3d</v>
      </c>
      <c r="X15" s="24">
        <f>IF(W15="","",_xlfn.MAXIFS(tblFlavors[vCPU],tblFlavors[Famille],W15))</f>
        <v>48</v>
      </c>
      <c r="Y15" s="22" t="str">
        <f t="shared" si="7"/>
        <v>N</v>
      </c>
      <c r="Z15" s="28" t="str">
        <f>IF(OR(W15="",Y15="O"),"",IFERROR(INDEX(tblFlavors[Flavor],MATCH(W15&amp;"|"&amp;_xlfn.MINIFS(tblFlavors[vCPU],tblFlavors[Famille],W15,tblFlavors[vCPU],"&gt;"&amp;K15),tblFlavors[Cle Famille vCPU],0)),""))</f>
        <v>bx3d.16x80</v>
      </c>
    </row>
    <row r="16" spans="1:29" x14ac:dyDescent="0.2">
      <c r="A16" s="16" t="s">
        <v>150</v>
      </c>
      <c r="B16" s="16" t="s">
        <v>176</v>
      </c>
      <c r="C16" s="16" t="s">
        <v>95</v>
      </c>
      <c r="D16" s="16" t="s">
        <v>177</v>
      </c>
      <c r="E16" s="22" t="str">
        <f t="shared" si="0"/>
        <v>Dedie</v>
      </c>
      <c r="F16" s="16" t="s">
        <v>157</v>
      </c>
      <c r="G16" s="16" t="s">
        <v>97</v>
      </c>
      <c r="H16" s="17">
        <v>6</v>
      </c>
      <c r="I16" s="23">
        <v>0</v>
      </c>
      <c r="J16" s="23">
        <v>0</v>
      </c>
      <c r="K16" s="24">
        <f>IF(G16="","",IFERROR(INDEX(tblFlavors[vCPU],MATCH(G16,tblFlavors[Flavor],0)),""))</f>
        <v>8</v>
      </c>
      <c r="L16" s="24">
        <f>IF(G16="","",IFERROR(INDEX(tblFlavors[RAM (Go)],MATCH(G16,tblFlavors[Flavor],0)),""))</f>
        <v>40</v>
      </c>
      <c r="M16" s="25">
        <f t="shared" si="1"/>
        <v>48</v>
      </c>
      <c r="N16" s="25">
        <f t="shared" si="2"/>
        <v>240</v>
      </c>
      <c r="O16" s="24">
        <f ca="1">SUMIFS(tblApplications[CPU cible ROKS],tblApplications[Cluster ROKS cible (auto)],B16,tblApplications[Inclus projection O/N],"O")</f>
        <v>0</v>
      </c>
      <c r="P16" s="24">
        <f ca="1">SUMIFS(tblApplications[RAM cible ROKS],tblApplications[Cluster ROKS cible (auto)],B16,tblApplications[Inclus projection O/N],"O")</f>
        <v>0</v>
      </c>
      <c r="Q16" s="25">
        <f t="shared" ca="1" si="3"/>
        <v>0</v>
      </c>
      <c r="R16" s="25">
        <f t="shared" ca="1" si="4"/>
        <v>0</v>
      </c>
      <c r="S16" s="26">
        <f t="shared" ca="1" si="5"/>
        <v>0</v>
      </c>
      <c r="T16" s="26">
        <f t="shared" ca="1" si="6"/>
        <v>0</v>
      </c>
      <c r="U16" s="22" t="str">
        <f ca="1">IF(M16=0,IF(Q16&gt;0,"Cluster sans capacite provisionnee","n/a"),IF(OR(S16&gt;=Clusters_ROKS!$AC$5,T16&gt;=Clusters_ROKS!$AC$5,H16&gt;=Clusters_ROKS!$AC$6),"Seuil depasse","OK"))</f>
        <v>OK</v>
      </c>
      <c r="V16" s="27" t="str">
        <f ca="1">IF(COUNTIFS(tblProjection[Cluster],B16,tblProjection[Statut],"Seuil depasse")&gt;0,"O","N")</f>
        <v>N</v>
      </c>
      <c r="W16" s="28" t="str">
        <f>IF(G16="","",IFERROR(INDEX(tblFlavors[Famille],MATCH(G16,tblFlavors[Flavor],0)),""))</f>
        <v>bx3d</v>
      </c>
      <c r="X16" s="24">
        <f>IF(W16="","",_xlfn.MAXIFS(tblFlavors[vCPU],tblFlavors[Famille],W16))</f>
        <v>48</v>
      </c>
      <c r="Y16" s="22" t="str">
        <f t="shared" si="7"/>
        <v>N</v>
      </c>
      <c r="Z16" s="28" t="str">
        <f>IF(OR(W16="",Y16="O"),"",IFERROR(INDEX(tblFlavors[Flavor],MATCH(W16&amp;"|"&amp;_xlfn.MINIFS(tblFlavors[vCPU],tblFlavors[Famille],W16,tblFlavors[vCPU],"&gt;"&amp;K16),tblFlavors[Cle Famille vCPU],0)),""))</f>
        <v>bx3d.16x80</v>
      </c>
    </row>
    <row r="17" spans="1:26" x14ac:dyDescent="0.2">
      <c r="A17" s="16" t="s">
        <v>150</v>
      </c>
      <c r="B17" s="16" t="s">
        <v>178</v>
      </c>
      <c r="C17" s="16" t="s">
        <v>95</v>
      </c>
      <c r="D17" s="16" t="s">
        <v>179</v>
      </c>
      <c r="E17" s="22" t="str">
        <f t="shared" si="0"/>
        <v>Dedie</v>
      </c>
      <c r="F17" s="16" t="s">
        <v>153</v>
      </c>
      <c r="G17" s="16" t="s">
        <v>97</v>
      </c>
      <c r="H17" s="17">
        <v>6</v>
      </c>
      <c r="I17" s="23">
        <v>0</v>
      </c>
      <c r="J17" s="23">
        <v>0</v>
      </c>
      <c r="K17" s="24">
        <f>IF(G17="","",IFERROR(INDEX(tblFlavors[vCPU],MATCH(G17,tblFlavors[Flavor],0)),""))</f>
        <v>8</v>
      </c>
      <c r="L17" s="24">
        <f>IF(G17="","",IFERROR(INDEX(tblFlavors[RAM (Go)],MATCH(G17,tblFlavors[Flavor],0)),""))</f>
        <v>40</v>
      </c>
      <c r="M17" s="25">
        <f t="shared" si="1"/>
        <v>48</v>
      </c>
      <c r="N17" s="25">
        <f t="shared" si="2"/>
        <v>240</v>
      </c>
      <c r="O17" s="24">
        <f ca="1">SUMIFS(tblApplications[CPU cible ROKS],tblApplications[Cluster ROKS cible (auto)],B17,tblApplications[Inclus projection O/N],"O")</f>
        <v>24</v>
      </c>
      <c r="P17" s="24">
        <f ca="1">SUMIFS(tblApplications[RAM cible ROKS],tblApplications[Cluster ROKS cible (auto)],B17,tblApplications[Inclus projection O/N],"O")</f>
        <v>87</v>
      </c>
      <c r="Q17" s="25">
        <f t="shared" ca="1" si="3"/>
        <v>24</v>
      </c>
      <c r="R17" s="25">
        <f t="shared" ca="1" si="4"/>
        <v>87</v>
      </c>
      <c r="S17" s="26">
        <f t="shared" ca="1" si="5"/>
        <v>0.5</v>
      </c>
      <c r="T17" s="26">
        <f t="shared" ca="1" si="6"/>
        <v>0.36249999999999999</v>
      </c>
      <c r="U17" s="22" t="str">
        <f ca="1">IF(M17=0,IF(Q17&gt;0,"Cluster sans capacite provisionnee","n/a"),IF(OR(S17&gt;=Clusters_ROKS!$AC$5,T17&gt;=Clusters_ROKS!$AC$5,H17&gt;=Clusters_ROKS!$AC$6),"Seuil depasse","OK"))</f>
        <v>OK</v>
      </c>
      <c r="V17" s="27" t="str">
        <f ca="1">IF(COUNTIFS(tblProjection[Cluster],B17,tblProjection[Statut],"Seuil depasse")&gt;0,"O","N")</f>
        <v>N</v>
      </c>
      <c r="W17" s="28" t="str">
        <f>IF(G17="","",IFERROR(INDEX(tblFlavors[Famille],MATCH(G17,tblFlavors[Flavor],0)),""))</f>
        <v>bx3d</v>
      </c>
      <c r="X17" s="24">
        <f>IF(W17="","",_xlfn.MAXIFS(tblFlavors[vCPU],tblFlavors[Famille],W17))</f>
        <v>48</v>
      </c>
      <c r="Y17" s="22" t="str">
        <f t="shared" si="7"/>
        <v>N</v>
      </c>
      <c r="Z17" s="28" t="str">
        <f>IF(OR(W17="",Y17="O"),"",IFERROR(INDEX(tblFlavors[Flavor],MATCH(W17&amp;"|"&amp;_xlfn.MINIFS(tblFlavors[vCPU],tblFlavors[Famille],W17,tblFlavors[vCPU],"&gt;"&amp;K17),tblFlavors[Cle Famille vCPU],0)),""))</f>
        <v>bx3d.16x80</v>
      </c>
    </row>
    <row r="18" spans="1:26" x14ac:dyDescent="0.2">
      <c r="A18" s="16" t="s">
        <v>150</v>
      </c>
      <c r="B18" s="16" t="s">
        <v>180</v>
      </c>
      <c r="C18" s="16" t="s">
        <v>95</v>
      </c>
      <c r="D18" s="16" t="s">
        <v>181</v>
      </c>
      <c r="E18" s="22" t="str">
        <f t="shared" si="0"/>
        <v>Dedie</v>
      </c>
      <c r="F18" s="16" t="s">
        <v>153</v>
      </c>
      <c r="G18" s="16"/>
      <c r="H18" s="17">
        <v>0</v>
      </c>
      <c r="I18" s="23">
        <v>0</v>
      </c>
      <c r="J18" s="23">
        <v>0</v>
      </c>
      <c r="K18" s="24" t="str">
        <f>IF(G18="","",IFERROR(INDEX(tblFlavors[vCPU],MATCH(G18,tblFlavors[Flavor],0)),""))</f>
        <v/>
      </c>
      <c r="L18" s="24" t="str">
        <f>IF(G18="","",IFERROR(INDEX(tblFlavors[RAM (Go)],MATCH(G18,tblFlavors[Flavor],0)),""))</f>
        <v/>
      </c>
      <c r="M18" s="25">
        <f t="shared" si="1"/>
        <v>0</v>
      </c>
      <c r="N18" s="25">
        <f t="shared" si="2"/>
        <v>0</v>
      </c>
      <c r="O18" s="24">
        <f ca="1">SUMIFS(tblApplications[CPU cible ROKS],tblApplications[Cluster ROKS cible (auto)],B18,tblApplications[Inclus projection O/N],"O")</f>
        <v>12</v>
      </c>
      <c r="P18" s="24">
        <f ca="1">SUMIFS(tblApplications[RAM cible ROKS],tblApplications[Cluster ROKS cible (auto)],B18,tblApplications[Inclus projection O/N],"O")</f>
        <v>48</v>
      </c>
      <c r="Q18" s="25">
        <f t="shared" ca="1" si="3"/>
        <v>12</v>
      </c>
      <c r="R18" s="25">
        <f t="shared" ca="1" si="4"/>
        <v>48</v>
      </c>
      <c r="S18" s="26" t="str">
        <f t="shared" si="5"/>
        <v/>
      </c>
      <c r="T18" s="26" t="str">
        <f t="shared" si="6"/>
        <v/>
      </c>
      <c r="U18" s="22" t="str">
        <f ca="1">IF(M18=0,IF(Q18&gt;0,"Cluster sans capacite provisionnee","n/a"),IF(OR(S18&gt;=Clusters_ROKS!$AC$5,T18&gt;=Clusters_ROKS!$AC$5,H18&gt;=Clusters_ROKS!$AC$6),"Seuil depasse","OK"))</f>
        <v>Cluster sans capacite provisionnee</v>
      </c>
      <c r="V18" s="27" t="str">
        <f ca="1">IF(COUNTIFS(tblProjection[Cluster],B18,tblProjection[Statut],"Seuil depasse")&gt;0,"O","N")</f>
        <v>N</v>
      </c>
      <c r="W18" s="28" t="str">
        <f>IF(G18="","",IFERROR(INDEX(tblFlavors[Famille],MATCH(G18,tblFlavors[Flavor],0)),""))</f>
        <v/>
      </c>
      <c r="X18" s="24" t="str">
        <f>IF(W18="","",_xlfn.MAXIFS(tblFlavors[vCPU],tblFlavors[Famille],W18))</f>
        <v/>
      </c>
      <c r="Y18" s="22" t="str">
        <f t="shared" si="7"/>
        <v/>
      </c>
      <c r="Z18" s="28" t="str">
        <f>IF(OR(W18="",Y18="O"),"",IFERROR(INDEX(tblFlavors[Flavor],MATCH(W18&amp;"|"&amp;_xlfn.MINIFS(tblFlavors[vCPU],tblFlavors[Famille],W18,tblFlavors[vCPU],"&gt;"&amp;K18),tblFlavors[Cle Famille vCPU],0)),""))</f>
        <v/>
      </c>
    </row>
    <row r="19" spans="1:26" x14ac:dyDescent="0.2">
      <c r="A19" s="16" t="s">
        <v>150</v>
      </c>
      <c r="B19" s="16" t="s">
        <v>182</v>
      </c>
      <c r="C19" s="16" t="s">
        <v>95</v>
      </c>
      <c r="D19" s="16" t="s">
        <v>183</v>
      </c>
      <c r="E19" s="22" t="str">
        <f t="shared" si="0"/>
        <v>Dedie</v>
      </c>
      <c r="F19" s="16" t="s">
        <v>153</v>
      </c>
      <c r="G19" s="16"/>
      <c r="H19" s="17">
        <v>0</v>
      </c>
      <c r="I19" s="23">
        <v>0</v>
      </c>
      <c r="J19" s="23">
        <v>0</v>
      </c>
      <c r="K19" s="24" t="str">
        <f>IF(G19="","",IFERROR(INDEX(tblFlavors[vCPU],MATCH(G19,tblFlavors[Flavor],0)),""))</f>
        <v/>
      </c>
      <c r="L19" s="24" t="str">
        <f>IF(G19="","",IFERROR(INDEX(tblFlavors[RAM (Go)],MATCH(G19,tblFlavors[Flavor],0)),""))</f>
        <v/>
      </c>
      <c r="M19" s="25">
        <f t="shared" si="1"/>
        <v>0</v>
      </c>
      <c r="N19" s="25">
        <f t="shared" si="2"/>
        <v>0</v>
      </c>
      <c r="O19" s="24">
        <f ca="1">SUMIFS(tblApplications[CPU cible ROKS],tblApplications[Cluster ROKS cible (auto)],B19,tblApplications[Inclus projection O/N],"O")</f>
        <v>36</v>
      </c>
      <c r="P19" s="24">
        <f ca="1">SUMIFS(tblApplications[RAM cible ROKS],tblApplications[Cluster ROKS cible (auto)],B19,tblApplications[Inclus projection O/N],"O")</f>
        <v>144</v>
      </c>
      <c r="Q19" s="25">
        <f t="shared" ca="1" si="3"/>
        <v>36</v>
      </c>
      <c r="R19" s="25">
        <f t="shared" ca="1" si="4"/>
        <v>144</v>
      </c>
      <c r="S19" s="26" t="str">
        <f t="shared" si="5"/>
        <v/>
      </c>
      <c r="T19" s="26" t="str">
        <f t="shared" si="6"/>
        <v/>
      </c>
      <c r="U19" s="22" t="str">
        <f ca="1">IF(M19=0,IF(Q19&gt;0,"Cluster sans capacite provisionnee","n/a"),IF(OR(S19&gt;=Clusters_ROKS!$AC$5,T19&gt;=Clusters_ROKS!$AC$5,H19&gt;=Clusters_ROKS!$AC$6),"Seuil depasse","OK"))</f>
        <v>Cluster sans capacite provisionnee</v>
      </c>
      <c r="V19" s="27" t="str">
        <f ca="1">IF(COUNTIFS(tblProjection[Cluster],B19,tblProjection[Statut],"Seuil depasse")&gt;0,"O","N")</f>
        <v>N</v>
      </c>
      <c r="W19" s="28" t="str">
        <f>IF(G19="","",IFERROR(INDEX(tblFlavors[Famille],MATCH(G19,tblFlavors[Flavor],0)),""))</f>
        <v/>
      </c>
      <c r="X19" s="24" t="str">
        <f>IF(W19="","",_xlfn.MAXIFS(tblFlavors[vCPU],tblFlavors[Famille],W19))</f>
        <v/>
      </c>
      <c r="Y19" s="22" t="str">
        <f t="shared" si="7"/>
        <v/>
      </c>
      <c r="Z19" s="28" t="str">
        <f>IF(OR(W19="",Y19="O"),"",IFERROR(INDEX(tblFlavors[Flavor],MATCH(W19&amp;"|"&amp;_xlfn.MINIFS(tblFlavors[vCPU],tblFlavors[Famille],W19,tblFlavors[vCPU],"&gt;"&amp;K19),tblFlavors[Cle Famille vCPU],0)),""))</f>
        <v/>
      </c>
    </row>
    <row r="20" spans="1:26" x14ac:dyDescent="0.2">
      <c r="A20" s="16" t="s">
        <v>150</v>
      </c>
      <c r="B20" s="16" t="s">
        <v>184</v>
      </c>
      <c r="C20" s="16" t="s">
        <v>95</v>
      </c>
      <c r="D20" s="16" t="s">
        <v>185</v>
      </c>
      <c r="E20" s="22" t="str">
        <f t="shared" si="0"/>
        <v>Dedie</v>
      </c>
      <c r="F20" s="16" t="s">
        <v>157</v>
      </c>
      <c r="G20" s="16"/>
      <c r="H20" s="17">
        <v>0</v>
      </c>
      <c r="I20" s="23">
        <v>0</v>
      </c>
      <c r="J20" s="23">
        <v>0</v>
      </c>
      <c r="K20" s="24" t="str">
        <f>IF(G20="","",IFERROR(INDEX(tblFlavors[vCPU],MATCH(G20,tblFlavors[Flavor],0)),""))</f>
        <v/>
      </c>
      <c r="L20" s="24" t="str">
        <f>IF(G20="","",IFERROR(INDEX(tblFlavors[RAM (Go)],MATCH(G20,tblFlavors[Flavor],0)),""))</f>
        <v/>
      </c>
      <c r="M20" s="25">
        <f t="shared" si="1"/>
        <v>0</v>
      </c>
      <c r="N20" s="25">
        <f t="shared" si="2"/>
        <v>0</v>
      </c>
      <c r="O20" s="24">
        <f ca="1">SUMIFS(tblApplications[CPU cible ROKS],tblApplications[Cluster ROKS cible (auto)],B20,tblApplications[Inclus projection O/N],"O")</f>
        <v>0</v>
      </c>
      <c r="P20" s="24">
        <f ca="1">SUMIFS(tblApplications[RAM cible ROKS],tblApplications[Cluster ROKS cible (auto)],B20,tblApplications[Inclus projection O/N],"O")</f>
        <v>0</v>
      </c>
      <c r="Q20" s="25">
        <f t="shared" ca="1" si="3"/>
        <v>0</v>
      </c>
      <c r="R20" s="25">
        <f t="shared" ca="1" si="4"/>
        <v>0</v>
      </c>
      <c r="S20" s="26" t="str">
        <f t="shared" si="5"/>
        <v/>
      </c>
      <c r="T20" s="26" t="str">
        <f t="shared" si="6"/>
        <v/>
      </c>
      <c r="U20" s="22" t="str">
        <f ca="1">IF(M20=0,IF(Q20&gt;0,"Cluster sans capacite provisionnee","n/a"),IF(OR(S20&gt;=Clusters_ROKS!$AC$5,T20&gt;=Clusters_ROKS!$AC$5,H20&gt;=Clusters_ROKS!$AC$6),"Seuil depasse","OK"))</f>
        <v>n/a</v>
      </c>
      <c r="V20" s="27" t="str">
        <f ca="1">IF(COUNTIFS(tblProjection[Cluster],B20,tblProjection[Statut],"Seuil depasse")&gt;0,"O","N")</f>
        <v>N</v>
      </c>
      <c r="W20" s="28" t="str">
        <f>IF(G20="","",IFERROR(INDEX(tblFlavors[Famille],MATCH(G20,tblFlavors[Flavor],0)),""))</f>
        <v/>
      </c>
      <c r="X20" s="24" t="str">
        <f>IF(W20="","",_xlfn.MAXIFS(tblFlavors[vCPU],tblFlavors[Famille],W20))</f>
        <v/>
      </c>
      <c r="Y20" s="22" t="str">
        <f t="shared" si="7"/>
        <v/>
      </c>
      <c r="Z20" s="28" t="str">
        <f>IF(OR(W20="",Y20="O"),"",IFERROR(INDEX(tblFlavors[Flavor],MATCH(W20&amp;"|"&amp;_xlfn.MINIFS(tblFlavors[vCPU],tblFlavors[Famille],W20,tblFlavors[vCPU],"&gt;"&amp;K20),tblFlavors[Cle Famille vCPU],0)),""))</f>
        <v/>
      </c>
    </row>
    <row r="21" spans="1:26" x14ac:dyDescent="0.2">
      <c r="A21" s="16" t="s">
        <v>150</v>
      </c>
      <c r="B21" s="16" t="s">
        <v>186</v>
      </c>
      <c r="C21" s="16" t="s">
        <v>95</v>
      </c>
      <c r="D21" s="16" t="s">
        <v>187</v>
      </c>
      <c r="E21" s="22" t="str">
        <f t="shared" si="0"/>
        <v>Dedie</v>
      </c>
      <c r="F21" s="16" t="s">
        <v>157</v>
      </c>
      <c r="G21" s="16"/>
      <c r="H21" s="17">
        <v>0</v>
      </c>
      <c r="I21" s="23">
        <v>0</v>
      </c>
      <c r="J21" s="23">
        <v>0</v>
      </c>
      <c r="K21" s="24" t="str">
        <f>IF(G21="","",IFERROR(INDEX(tblFlavors[vCPU],MATCH(G21,tblFlavors[Flavor],0)),""))</f>
        <v/>
      </c>
      <c r="L21" s="24" t="str">
        <f>IF(G21="","",IFERROR(INDEX(tblFlavors[RAM (Go)],MATCH(G21,tblFlavors[Flavor],0)),""))</f>
        <v/>
      </c>
      <c r="M21" s="25">
        <f t="shared" si="1"/>
        <v>0</v>
      </c>
      <c r="N21" s="25">
        <f t="shared" si="2"/>
        <v>0</v>
      </c>
      <c r="O21" s="24">
        <f ca="1">SUMIFS(tblApplications[CPU cible ROKS],tblApplications[Cluster ROKS cible (auto)],B21,tblApplications[Inclus projection O/N],"O")</f>
        <v>0</v>
      </c>
      <c r="P21" s="24">
        <f ca="1">SUMIFS(tblApplications[RAM cible ROKS],tblApplications[Cluster ROKS cible (auto)],B21,tblApplications[Inclus projection O/N],"O")</f>
        <v>0</v>
      </c>
      <c r="Q21" s="25">
        <f t="shared" ca="1" si="3"/>
        <v>0</v>
      </c>
      <c r="R21" s="25">
        <f t="shared" ca="1" si="4"/>
        <v>0</v>
      </c>
      <c r="S21" s="26" t="str">
        <f t="shared" si="5"/>
        <v/>
      </c>
      <c r="T21" s="26" t="str">
        <f t="shared" si="6"/>
        <v/>
      </c>
      <c r="U21" s="22" t="str">
        <f ca="1">IF(M21=0,IF(Q21&gt;0,"Cluster sans capacite provisionnee","n/a"),IF(OR(S21&gt;=Clusters_ROKS!$AC$5,T21&gt;=Clusters_ROKS!$AC$5,H21&gt;=Clusters_ROKS!$AC$6),"Seuil depasse","OK"))</f>
        <v>n/a</v>
      </c>
      <c r="V21" s="27" t="str">
        <f ca="1">IF(COUNTIFS(tblProjection[Cluster],B21,tblProjection[Statut],"Seuil depasse")&gt;0,"O","N")</f>
        <v>N</v>
      </c>
      <c r="W21" s="28" t="str">
        <f>IF(G21="","",IFERROR(INDEX(tblFlavors[Famille],MATCH(G21,tblFlavors[Flavor],0)),""))</f>
        <v/>
      </c>
      <c r="X21" s="24" t="str">
        <f>IF(W21="","",_xlfn.MAXIFS(tblFlavors[vCPU],tblFlavors[Famille],W21))</f>
        <v/>
      </c>
      <c r="Y21" s="22" t="str">
        <f t="shared" si="7"/>
        <v/>
      </c>
      <c r="Z21" s="28" t="str">
        <f>IF(OR(W21="",Y21="O"),"",IFERROR(INDEX(tblFlavors[Flavor],MATCH(W21&amp;"|"&amp;_xlfn.MINIFS(tblFlavors[vCPU],tblFlavors[Famille],W21,tblFlavors[vCPU],"&gt;"&amp;K21),tblFlavors[Cle Famille vCPU],0)),""))</f>
        <v/>
      </c>
    </row>
    <row r="22" spans="1:26" x14ac:dyDescent="0.2">
      <c r="A22" s="16" t="s">
        <v>188</v>
      </c>
      <c r="B22" s="16" t="s">
        <v>189</v>
      </c>
      <c r="C22" s="16" t="s">
        <v>95</v>
      </c>
      <c r="D22" s="16" t="s">
        <v>190</v>
      </c>
      <c r="E22" s="22" t="str">
        <f t="shared" si="0"/>
        <v>Dedie</v>
      </c>
      <c r="F22" s="16" t="s">
        <v>153</v>
      </c>
      <c r="G22" s="16" t="s">
        <v>97</v>
      </c>
      <c r="H22" s="17">
        <v>6</v>
      </c>
      <c r="I22" s="23">
        <v>0</v>
      </c>
      <c r="J22" s="23">
        <v>0</v>
      </c>
      <c r="K22" s="24">
        <f>IF(G22="","",IFERROR(INDEX(tblFlavors[vCPU],MATCH(G22,tblFlavors[Flavor],0)),""))</f>
        <v>8</v>
      </c>
      <c r="L22" s="24">
        <f>IF(G22="","",IFERROR(INDEX(tblFlavors[RAM (Go)],MATCH(G22,tblFlavors[Flavor],0)),""))</f>
        <v>40</v>
      </c>
      <c r="M22" s="25">
        <f t="shared" si="1"/>
        <v>48</v>
      </c>
      <c r="N22" s="25">
        <f t="shared" si="2"/>
        <v>240</v>
      </c>
      <c r="O22" s="24">
        <f ca="1">SUMIFS(tblApplications[CPU cible ROKS],tblApplications[Cluster ROKS cible (auto)],B22,tblApplications[Inclus projection O/N],"O")</f>
        <v>0</v>
      </c>
      <c r="P22" s="24">
        <f ca="1">SUMIFS(tblApplications[RAM cible ROKS],tblApplications[Cluster ROKS cible (auto)],B22,tblApplications[Inclus projection O/N],"O")</f>
        <v>0</v>
      </c>
      <c r="Q22" s="25">
        <f t="shared" ca="1" si="3"/>
        <v>0</v>
      </c>
      <c r="R22" s="25">
        <f t="shared" ca="1" si="4"/>
        <v>0</v>
      </c>
      <c r="S22" s="26">
        <f t="shared" ca="1" si="5"/>
        <v>0</v>
      </c>
      <c r="T22" s="26">
        <f t="shared" ca="1" si="6"/>
        <v>0</v>
      </c>
      <c r="U22" s="22" t="str">
        <f ca="1">IF(M22=0,IF(Q22&gt;0,"Cluster sans capacite provisionnee","n/a"),IF(OR(S22&gt;=Clusters_ROKS!$AC$5,T22&gt;=Clusters_ROKS!$AC$5,H22&gt;=Clusters_ROKS!$AC$6),"Seuil depasse","OK"))</f>
        <v>OK</v>
      </c>
      <c r="V22" s="27" t="str">
        <f ca="1">IF(COUNTIFS(tblProjection[Cluster],B22,tblProjection[Statut],"Seuil depasse")&gt;0,"O","N")</f>
        <v>N</v>
      </c>
      <c r="W22" s="28" t="str">
        <f>IF(G22="","",IFERROR(INDEX(tblFlavors[Famille],MATCH(G22,tblFlavors[Flavor],0)),""))</f>
        <v>bx3d</v>
      </c>
      <c r="X22" s="24">
        <f>IF(W22="","",_xlfn.MAXIFS(tblFlavors[vCPU],tblFlavors[Famille],W22))</f>
        <v>48</v>
      </c>
      <c r="Y22" s="22" t="str">
        <f t="shared" si="7"/>
        <v>N</v>
      </c>
      <c r="Z22" s="28" t="str">
        <f>IF(OR(W22="",Y22="O"),"",IFERROR(INDEX(tblFlavors[Flavor],MATCH(W22&amp;"|"&amp;_xlfn.MINIFS(tblFlavors[vCPU],tblFlavors[Famille],W22,tblFlavors[vCPU],"&gt;"&amp;K22),tblFlavors[Cle Famille vCPU],0)),""))</f>
        <v>bx3d.16x80</v>
      </c>
    </row>
    <row r="23" spans="1:26" x14ac:dyDescent="0.2">
      <c r="A23" s="16" t="s">
        <v>191</v>
      </c>
      <c r="B23" s="16" t="s">
        <v>192</v>
      </c>
      <c r="C23" s="16" t="s">
        <v>95</v>
      </c>
      <c r="D23" s="16" t="s">
        <v>193</v>
      </c>
      <c r="E23" s="22" t="str">
        <f t="shared" si="0"/>
        <v>Dedie</v>
      </c>
      <c r="F23" s="16" t="s">
        <v>157</v>
      </c>
      <c r="G23" s="16"/>
      <c r="H23" s="17">
        <v>0</v>
      </c>
      <c r="I23" s="23">
        <v>0</v>
      </c>
      <c r="J23" s="23">
        <v>0</v>
      </c>
      <c r="K23" s="24" t="str">
        <f>IF(G23="","",IFERROR(INDEX(tblFlavors[vCPU],MATCH(G23,tblFlavors[Flavor],0)),""))</f>
        <v/>
      </c>
      <c r="L23" s="24" t="str">
        <f>IF(G23="","",IFERROR(INDEX(tblFlavors[RAM (Go)],MATCH(G23,tblFlavors[Flavor],0)),""))</f>
        <v/>
      </c>
      <c r="M23" s="25">
        <f t="shared" si="1"/>
        <v>0</v>
      </c>
      <c r="N23" s="25">
        <f t="shared" si="2"/>
        <v>0</v>
      </c>
      <c r="O23" s="24">
        <f ca="1">SUMIFS(tblApplications[CPU cible ROKS],tblApplications[Cluster ROKS cible (auto)],B23,tblApplications[Inclus projection O/N],"O")</f>
        <v>0</v>
      </c>
      <c r="P23" s="24">
        <f ca="1">SUMIFS(tblApplications[RAM cible ROKS],tblApplications[Cluster ROKS cible (auto)],B23,tblApplications[Inclus projection O/N],"O")</f>
        <v>0</v>
      </c>
      <c r="Q23" s="25">
        <f t="shared" ca="1" si="3"/>
        <v>0</v>
      </c>
      <c r="R23" s="25">
        <f t="shared" ca="1" si="4"/>
        <v>0</v>
      </c>
      <c r="S23" s="26" t="str">
        <f t="shared" si="5"/>
        <v/>
      </c>
      <c r="T23" s="26" t="str">
        <f t="shared" si="6"/>
        <v/>
      </c>
      <c r="U23" s="22" t="str">
        <f ca="1">IF(M23=0,IF(Q23&gt;0,"Cluster sans capacite provisionnee","n/a"),IF(OR(S23&gt;=Clusters_ROKS!$AC$5,T23&gt;=Clusters_ROKS!$AC$5,H23&gt;=Clusters_ROKS!$AC$6),"Seuil depasse","OK"))</f>
        <v>n/a</v>
      </c>
      <c r="V23" s="27" t="str">
        <f ca="1">IF(COUNTIFS(tblProjection[Cluster],B23,tblProjection[Statut],"Seuil depasse")&gt;0,"O","N")</f>
        <v>N</v>
      </c>
      <c r="W23" s="28" t="str">
        <f>IF(G23="","",IFERROR(INDEX(tblFlavors[Famille],MATCH(G23,tblFlavors[Flavor],0)),""))</f>
        <v/>
      </c>
      <c r="X23" s="24" t="str">
        <f>IF(W23="","",_xlfn.MAXIFS(tblFlavors[vCPU],tblFlavors[Famille],W23))</f>
        <v/>
      </c>
      <c r="Y23" s="22" t="str">
        <f t="shared" si="7"/>
        <v/>
      </c>
      <c r="Z23" s="28" t="str">
        <f>IF(OR(W23="",Y23="O"),"",IFERROR(INDEX(tblFlavors[Flavor],MATCH(W23&amp;"|"&amp;_xlfn.MINIFS(tblFlavors[vCPU],tblFlavors[Famille],W23,tblFlavors[vCPU],"&gt;"&amp;K23),tblFlavors[Cle Famille vCPU],0)),""))</f>
        <v/>
      </c>
    </row>
    <row r="24" spans="1:26" x14ac:dyDescent="0.2">
      <c r="A24" s="16"/>
      <c r="B24" s="16" t="s">
        <v>194</v>
      </c>
      <c r="C24" s="16" t="s">
        <v>106</v>
      </c>
      <c r="D24" s="16" t="s">
        <v>195</v>
      </c>
      <c r="E24" s="22" t="str">
        <f t="shared" si="0"/>
        <v>Mutualise</v>
      </c>
      <c r="F24" s="16" t="s">
        <v>153</v>
      </c>
      <c r="G24" s="16"/>
      <c r="H24" s="17">
        <v>0</v>
      </c>
      <c r="I24" s="23">
        <v>0</v>
      </c>
      <c r="J24" s="23">
        <v>0</v>
      </c>
      <c r="K24" s="24" t="str">
        <f>IF(G24="","",IFERROR(INDEX(tblFlavors[vCPU],MATCH(G24,tblFlavors[Flavor],0)),""))</f>
        <v/>
      </c>
      <c r="L24" s="24" t="str">
        <f>IF(G24="","",IFERROR(INDEX(tblFlavors[RAM (Go)],MATCH(G24,tblFlavors[Flavor],0)),""))</f>
        <v/>
      </c>
      <c r="M24" s="25">
        <f t="shared" si="1"/>
        <v>0</v>
      </c>
      <c r="N24" s="25">
        <f t="shared" si="2"/>
        <v>0</v>
      </c>
      <c r="O24" s="24">
        <f ca="1">SUMIFS(tblApplications[CPU cible ROKS],tblApplications[Cluster ROKS cible (auto)],B24,tblApplications[Inclus projection O/N],"O")</f>
        <v>0</v>
      </c>
      <c r="P24" s="24">
        <f ca="1">SUMIFS(tblApplications[RAM cible ROKS],tblApplications[Cluster ROKS cible (auto)],B24,tblApplications[Inclus projection O/N],"O")</f>
        <v>0</v>
      </c>
      <c r="Q24" s="25">
        <f t="shared" ca="1" si="3"/>
        <v>0</v>
      </c>
      <c r="R24" s="25">
        <f t="shared" ca="1" si="4"/>
        <v>0</v>
      </c>
      <c r="S24" s="26" t="str">
        <f t="shared" si="5"/>
        <v/>
      </c>
      <c r="T24" s="26" t="str">
        <f t="shared" si="6"/>
        <v/>
      </c>
      <c r="U24" s="22" t="str">
        <f ca="1">IF(M24=0,IF(Q24&gt;0,"Cluster sans capacite provisionnee","n/a"),IF(OR(S24&gt;=Clusters_ROKS!$AC$5,T24&gt;=Clusters_ROKS!$AC$5,H24&gt;=Clusters_ROKS!$AC$6),"Seuil depasse","OK"))</f>
        <v>n/a</v>
      </c>
      <c r="V24" s="27" t="str">
        <f ca="1">IF(COUNTIFS(tblProjection[Cluster],B24,tblProjection[Statut],"Seuil depasse")&gt;0,"O","N")</f>
        <v>N</v>
      </c>
      <c r="W24" s="28" t="str">
        <f>IF(G24="","",IFERROR(INDEX(tblFlavors[Famille],MATCH(G24,tblFlavors[Flavor],0)),""))</f>
        <v/>
      </c>
      <c r="X24" s="24" t="str">
        <f>IF(W24="","",_xlfn.MAXIFS(tblFlavors[vCPU],tblFlavors[Famille],W24))</f>
        <v/>
      </c>
      <c r="Y24" s="22" t="str">
        <f t="shared" si="7"/>
        <v/>
      </c>
      <c r="Z24" s="28" t="str">
        <f>IF(OR(W24="",Y24="O"),"",IFERROR(INDEX(tblFlavors[Flavor],MATCH(W24&amp;"|"&amp;_xlfn.MINIFS(tblFlavors[vCPU],tblFlavors[Famille],W24,tblFlavors[vCPU],"&gt;"&amp;K24),tblFlavors[Cle Famille vCPU],0)),""))</f>
        <v/>
      </c>
    </row>
    <row r="25" spans="1:26" x14ac:dyDescent="0.2">
      <c r="A25" s="16"/>
      <c r="B25" s="16" t="s">
        <v>196</v>
      </c>
      <c r="C25" s="16" t="s">
        <v>106</v>
      </c>
      <c r="D25" s="16" t="s">
        <v>195</v>
      </c>
      <c r="E25" s="22" t="str">
        <f t="shared" si="0"/>
        <v>Mutualise</v>
      </c>
      <c r="F25" s="16" t="s">
        <v>157</v>
      </c>
      <c r="G25" s="16" t="s">
        <v>116</v>
      </c>
      <c r="H25" s="17">
        <v>15</v>
      </c>
      <c r="I25" s="23">
        <v>0</v>
      </c>
      <c r="J25" s="23">
        <v>0</v>
      </c>
      <c r="K25" s="24">
        <f>IF(G25="","",IFERROR(INDEX(tblFlavors[vCPU],MATCH(G25,tblFlavors[Flavor],0)),""))</f>
        <v>32</v>
      </c>
      <c r="L25" s="24">
        <f>IF(G25="","",IFERROR(INDEX(tblFlavors[RAM (Go)],MATCH(G25,tblFlavors[Flavor],0)),""))</f>
        <v>128</v>
      </c>
      <c r="M25" s="25">
        <f t="shared" si="1"/>
        <v>480</v>
      </c>
      <c r="N25" s="25">
        <f t="shared" si="2"/>
        <v>1920</v>
      </c>
      <c r="O25" s="24">
        <f ca="1">SUMIFS(tblApplications[CPU cible ROKS],tblApplications[Cluster ROKS cible (auto)],B25,tblApplications[Inclus projection O/N],"O")</f>
        <v>0</v>
      </c>
      <c r="P25" s="24">
        <f ca="1">SUMIFS(tblApplications[RAM cible ROKS],tblApplications[Cluster ROKS cible (auto)],B25,tblApplications[Inclus projection O/N],"O")</f>
        <v>0</v>
      </c>
      <c r="Q25" s="25">
        <f t="shared" ca="1" si="3"/>
        <v>0</v>
      </c>
      <c r="R25" s="25">
        <f t="shared" ca="1" si="4"/>
        <v>0</v>
      </c>
      <c r="S25" s="26">
        <f t="shared" ca="1" si="5"/>
        <v>0</v>
      </c>
      <c r="T25" s="26">
        <f t="shared" ca="1" si="6"/>
        <v>0</v>
      </c>
      <c r="U25" s="22" t="str">
        <f ca="1">IF(M25=0,IF(Q25&gt;0,"Cluster sans capacite provisionnee","n/a"),IF(OR(S25&gt;=Clusters_ROKS!$AC$5,T25&gt;=Clusters_ROKS!$AC$5,H25&gt;=Clusters_ROKS!$AC$6),"Seuil depasse","OK"))</f>
        <v>Seuil depasse</v>
      </c>
      <c r="V25" s="27" t="str">
        <f ca="1">IF(COUNTIFS(tblProjection[Cluster],B25,tblProjection[Statut],"Seuil depasse")&gt;0,"O","N")</f>
        <v>N</v>
      </c>
      <c r="W25" s="28" t="str">
        <f>IF(G25="","",IFERROR(INDEX(tblFlavors[Famille],MATCH(G25,tblFlavors[Flavor],0)),""))</f>
        <v>bx2</v>
      </c>
      <c r="X25" s="24">
        <f>IF(W25="","",_xlfn.MAXIFS(tblFlavors[vCPU],tblFlavors[Famille],W25))</f>
        <v>48</v>
      </c>
      <c r="Y25" s="22" t="str">
        <f t="shared" si="7"/>
        <v>N</v>
      </c>
      <c r="Z25" s="28" t="str">
        <f>IF(OR(W25="",Y25="O"),"",IFERROR(INDEX(tblFlavors[Flavor],MATCH(W25&amp;"|"&amp;_xlfn.MINIFS(tblFlavors[vCPU],tblFlavors[Famille],W25,tblFlavors[vCPU],"&gt;"&amp;K25),tblFlavors[Cle Famille vCPU],0)),""))</f>
        <v>bx2-48x192</v>
      </c>
    </row>
    <row r="26" spans="1:26" x14ac:dyDescent="0.2">
      <c r="A26" s="16"/>
      <c r="B26" s="16" t="s">
        <v>197</v>
      </c>
      <c r="C26" s="16" t="s">
        <v>106</v>
      </c>
      <c r="D26" s="16" t="s">
        <v>198</v>
      </c>
      <c r="E26" s="22" t="str">
        <f t="shared" si="0"/>
        <v>Dedie</v>
      </c>
      <c r="F26" s="16" t="s">
        <v>157</v>
      </c>
      <c r="G26" s="16" t="s">
        <v>116</v>
      </c>
      <c r="H26" s="17">
        <v>15</v>
      </c>
      <c r="I26" s="23">
        <v>0</v>
      </c>
      <c r="J26" s="23">
        <v>0</v>
      </c>
      <c r="K26" s="24">
        <f>IF(G26="","",IFERROR(INDEX(tblFlavors[vCPU],MATCH(G26,tblFlavors[Flavor],0)),""))</f>
        <v>32</v>
      </c>
      <c r="L26" s="24">
        <f>IF(G26="","",IFERROR(INDEX(tblFlavors[RAM (Go)],MATCH(G26,tblFlavors[Flavor],0)),""))</f>
        <v>128</v>
      </c>
      <c r="M26" s="25">
        <f t="shared" si="1"/>
        <v>480</v>
      </c>
      <c r="N26" s="25">
        <f t="shared" si="2"/>
        <v>1920</v>
      </c>
      <c r="O26" s="24">
        <f ca="1">SUMIFS(tblApplications[CPU cible ROKS],tblApplications[Cluster ROKS cible (auto)],B26,tblApplications[Inclus projection O/N],"O")</f>
        <v>0</v>
      </c>
      <c r="P26" s="24">
        <f ca="1">SUMIFS(tblApplications[RAM cible ROKS],tblApplications[Cluster ROKS cible (auto)],B26,tblApplications[Inclus projection O/N],"O")</f>
        <v>0</v>
      </c>
      <c r="Q26" s="25">
        <f t="shared" ca="1" si="3"/>
        <v>0</v>
      </c>
      <c r="R26" s="25">
        <f t="shared" ca="1" si="4"/>
        <v>0</v>
      </c>
      <c r="S26" s="26">
        <f t="shared" ca="1" si="5"/>
        <v>0</v>
      </c>
      <c r="T26" s="26">
        <f t="shared" ca="1" si="6"/>
        <v>0</v>
      </c>
      <c r="U26" s="22" t="str">
        <f ca="1">IF(M26=0,IF(Q26&gt;0,"Cluster sans capacite provisionnee","n/a"),IF(OR(S26&gt;=Clusters_ROKS!$AC$5,T26&gt;=Clusters_ROKS!$AC$5,H26&gt;=Clusters_ROKS!$AC$6),"Seuil depasse","OK"))</f>
        <v>Seuil depasse</v>
      </c>
      <c r="V26" s="27" t="str">
        <f ca="1">IF(COUNTIFS(tblProjection[Cluster],B26,tblProjection[Statut],"Seuil depasse")&gt;0,"O","N")</f>
        <v>N</v>
      </c>
      <c r="W26" s="28" t="str">
        <f>IF(G26="","",IFERROR(INDEX(tblFlavors[Famille],MATCH(G26,tblFlavors[Flavor],0)),""))</f>
        <v>bx2</v>
      </c>
      <c r="X26" s="24">
        <f>IF(W26="","",_xlfn.MAXIFS(tblFlavors[vCPU],tblFlavors[Famille],W26))</f>
        <v>48</v>
      </c>
      <c r="Y26" s="22" t="str">
        <f t="shared" si="7"/>
        <v>N</v>
      </c>
      <c r="Z26" s="28" t="str">
        <f>IF(OR(W26="",Y26="O"),"",IFERROR(INDEX(tblFlavors[Flavor],MATCH(W26&amp;"|"&amp;_xlfn.MINIFS(tblFlavors[vCPU],tblFlavors[Famille],W26,tblFlavors[vCPU],"&gt;"&amp;K26),tblFlavors[Cle Famille vCPU],0)),""))</f>
        <v>bx2-48x192</v>
      </c>
    </row>
    <row r="27" spans="1:26" x14ac:dyDescent="0.2">
      <c r="A27" s="16"/>
      <c r="B27" s="16" t="s">
        <v>199</v>
      </c>
      <c r="C27" s="16" t="s">
        <v>106</v>
      </c>
      <c r="D27" s="16" t="s">
        <v>198</v>
      </c>
      <c r="E27" s="22" t="str">
        <f t="shared" si="0"/>
        <v>Dedie</v>
      </c>
      <c r="F27" s="16" t="s">
        <v>153</v>
      </c>
      <c r="G27" s="16" t="s">
        <v>110</v>
      </c>
      <c r="H27" s="17">
        <v>6</v>
      </c>
      <c r="I27" s="23">
        <v>0</v>
      </c>
      <c r="J27" s="23">
        <v>0</v>
      </c>
      <c r="K27" s="24">
        <f>IF(G27="","",IFERROR(INDEX(tblFlavors[vCPU],MATCH(G27,tblFlavors[Flavor],0)),""))</f>
        <v>8</v>
      </c>
      <c r="L27" s="24">
        <f>IF(G27="","",IFERROR(INDEX(tblFlavors[RAM (Go)],MATCH(G27,tblFlavors[Flavor],0)),""))</f>
        <v>32</v>
      </c>
      <c r="M27" s="25">
        <f t="shared" si="1"/>
        <v>48</v>
      </c>
      <c r="N27" s="25">
        <f t="shared" si="2"/>
        <v>192</v>
      </c>
      <c r="O27" s="24">
        <f ca="1">SUMIFS(tblApplications[CPU cible ROKS],tblApplications[Cluster ROKS cible (auto)],B27,tblApplications[Inclus projection O/N],"O")</f>
        <v>0</v>
      </c>
      <c r="P27" s="24">
        <f ca="1">SUMIFS(tblApplications[RAM cible ROKS],tblApplications[Cluster ROKS cible (auto)],B27,tblApplications[Inclus projection O/N],"O")</f>
        <v>0</v>
      </c>
      <c r="Q27" s="25">
        <f t="shared" ca="1" si="3"/>
        <v>0</v>
      </c>
      <c r="R27" s="25">
        <f t="shared" ca="1" si="4"/>
        <v>0</v>
      </c>
      <c r="S27" s="26">
        <f t="shared" ca="1" si="5"/>
        <v>0</v>
      </c>
      <c r="T27" s="26">
        <f t="shared" ca="1" si="6"/>
        <v>0</v>
      </c>
      <c r="U27" s="22" t="str">
        <f ca="1">IF(M27=0,IF(Q27&gt;0,"Cluster sans capacite provisionnee","n/a"),IF(OR(S27&gt;=Clusters_ROKS!$AC$5,T27&gt;=Clusters_ROKS!$AC$5,H27&gt;=Clusters_ROKS!$AC$6),"Seuil depasse","OK"))</f>
        <v>OK</v>
      </c>
      <c r="V27" s="27" t="str">
        <f ca="1">IF(COUNTIFS(tblProjection[Cluster],B27,tblProjection[Statut],"Seuil depasse")&gt;0,"O","N")</f>
        <v>N</v>
      </c>
      <c r="W27" s="28" t="str">
        <f>IF(G27="","",IFERROR(INDEX(tblFlavors[Famille],MATCH(G27,tblFlavors[Flavor],0)),""))</f>
        <v>bx2</v>
      </c>
      <c r="X27" s="24">
        <f>IF(W27="","",_xlfn.MAXIFS(tblFlavors[vCPU],tblFlavors[Famille],W27))</f>
        <v>48</v>
      </c>
      <c r="Y27" s="22" t="str">
        <f t="shared" si="7"/>
        <v>N</v>
      </c>
      <c r="Z27" s="28" t="str">
        <f>IF(OR(W27="",Y27="O"),"",IFERROR(INDEX(tblFlavors[Flavor],MATCH(W27&amp;"|"&amp;_xlfn.MINIFS(tblFlavors[vCPU],tblFlavors[Famille],W27,tblFlavors[vCPU],"&gt;"&amp;K27),tblFlavors[Cle Famille vCPU],0)),""))</f>
        <v>bx2-16x64</v>
      </c>
    </row>
    <row r="28" spans="1:26" x14ac:dyDescent="0.2">
      <c r="A28" s="16"/>
      <c r="B28" s="16" t="s">
        <v>200</v>
      </c>
      <c r="C28" s="16" t="s">
        <v>106</v>
      </c>
      <c r="D28" s="16" t="s">
        <v>201</v>
      </c>
      <c r="E28" s="22" t="str">
        <f t="shared" si="0"/>
        <v>Dedie</v>
      </c>
      <c r="F28" s="16" t="s">
        <v>157</v>
      </c>
      <c r="G28" s="16" t="s">
        <v>121</v>
      </c>
      <c r="H28" s="17">
        <v>6</v>
      </c>
      <c r="I28" s="23">
        <v>0</v>
      </c>
      <c r="J28" s="23">
        <v>0</v>
      </c>
      <c r="K28" s="24">
        <f>IF(G28="","",IFERROR(INDEX(tblFlavors[vCPU],MATCH(G28,tblFlavors[Flavor],0)),""))</f>
        <v>64</v>
      </c>
      <c r="L28" s="24">
        <f>IF(G28="","",IFERROR(INDEX(tblFlavors[RAM (Go)],MATCH(G28,tblFlavors[Flavor],0)),""))</f>
        <v>512</v>
      </c>
      <c r="M28" s="25">
        <f t="shared" si="1"/>
        <v>384</v>
      </c>
      <c r="N28" s="25">
        <f t="shared" si="2"/>
        <v>3072</v>
      </c>
      <c r="O28" s="24">
        <f ca="1">SUMIFS(tblApplications[CPU cible ROKS],tblApplications[Cluster ROKS cible (auto)],B28,tblApplications[Inclus projection O/N],"O")</f>
        <v>0</v>
      </c>
      <c r="P28" s="24">
        <f ca="1">SUMIFS(tblApplications[RAM cible ROKS],tblApplications[Cluster ROKS cible (auto)],B28,tblApplications[Inclus projection O/N],"O")</f>
        <v>0</v>
      </c>
      <c r="Q28" s="25">
        <f t="shared" ca="1" si="3"/>
        <v>0</v>
      </c>
      <c r="R28" s="25">
        <f t="shared" ca="1" si="4"/>
        <v>0</v>
      </c>
      <c r="S28" s="26">
        <f t="shared" ca="1" si="5"/>
        <v>0</v>
      </c>
      <c r="T28" s="26">
        <f t="shared" ca="1" si="6"/>
        <v>0</v>
      </c>
      <c r="U28" s="22" t="str">
        <f ca="1">IF(M28=0,IF(Q28&gt;0,"Cluster sans capacite provisionnee","n/a"),IF(OR(S28&gt;=Clusters_ROKS!$AC$5,T28&gt;=Clusters_ROKS!$AC$5,H28&gt;=Clusters_ROKS!$AC$6),"Seuil depasse","OK"))</f>
        <v>OK</v>
      </c>
      <c r="V28" s="27" t="str">
        <f ca="1">IF(COUNTIFS(tblProjection[Cluster],B28,tblProjection[Statut],"Seuil depasse")&gt;0,"O","N")</f>
        <v>N</v>
      </c>
      <c r="W28" s="28" t="str">
        <f>IF(G28="","",IFERROR(INDEX(tblFlavors[Famille],MATCH(G28,tblFlavors[Flavor],0)),""))</f>
        <v>mx2</v>
      </c>
      <c r="X28" s="24">
        <f>IF(W28="","",_xlfn.MAXIFS(tblFlavors[vCPU],tblFlavors[Famille],W28))</f>
        <v>128</v>
      </c>
      <c r="Y28" s="22" t="str">
        <f t="shared" si="7"/>
        <v>N</v>
      </c>
      <c r="Z28" s="28" t="str">
        <f>IF(OR(W28="",Y28="O"),"",IFERROR(INDEX(tblFlavors[Flavor],MATCH(W28&amp;"|"&amp;_xlfn.MINIFS(tblFlavors[vCPU],tblFlavors[Famille],W28,tblFlavors[vCPU],"&gt;"&amp;K28),tblFlavors[Cle Famille vCPU],0)),""))</f>
        <v>mx2-128x1024</v>
      </c>
    </row>
    <row r="29" spans="1:26" x14ac:dyDescent="0.2">
      <c r="A29" s="16"/>
      <c r="B29" s="16" t="s">
        <v>202</v>
      </c>
      <c r="C29" s="16" t="s">
        <v>106</v>
      </c>
      <c r="D29" s="16" t="s">
        <v>203</v>
      </c>
      <c r="E29" s="22" t="str">
        <f t="shared" si="0"/>
        <v>Dedie</v>
      </c>
      <c r="F29" s="16" t="s">
        <v>153</v>
      </c>
      <c r="G29" s="16" t="s">
        <v>117</v>
      </c>
      <c r="H29" s="17">
        <v>6</v>
      </c>
      <c r="I29" s="23">
        <v>0</v>
      </c>
      <c r="J29" s="23">
        <v>0</v>
      </c>
      <c r="K29" s="24">
        <f>IF(G29="","",IFERROR(INDEX(tblFlavors[vCPU],MATCH(G29,tblFlavors[Flavor],0)),""))</f>
        <v>32</v>
      </c>
      <c r="L29" s="24">
        <f>IF(G29="","",IFERROR(INDEX(tblFlavors[RAM (Go)],MATCH(G29,tblFlavors[Flavor],0)),""))</f>
        <v>256</v>
      </c>
      <c r="M29" s="25">
        <f t="shared" si="1"/>
        <v>192</v>
      </c>
      <c r="N29" s="25">
        <f t="shared" si="2"/>
        <v>1536</v>
      </c>
      <c r="O29" s="24">
        <f ca="1">SUMIFS(tblApplications[CPU cible ROKS],tblApplications[Cluster ROKS cible (auto)],B29,tblApplications[Inclus projection O/N],"O")</f>
        <v>0</v>
      </c>
      <c r="P29" s="24">
        <f ca="1">SUMIFS(tblApplications[RAM cible ROKS],tblApplications[Cluster ROKS cible (auto)],B29,tblApplications[Inclus projection O/N],"O")</f>
        <v>0</v>
      </c>
      <c r="Q29" s="25">
        <f t="shared" ca="1" si="3"/>
        <v>0</v>
      </c>
      <c r="R29" s="25">
        <f t="shared" ca="1" si="4"/>
        <v>0</v>
      </c>
      <c r="S29" s="26">
        <f t="shared" ca="1" si="5"/>
        <v>0</v>
      </c>
      <c r="T29" s="26">
        <f t="shared" ca="1" si="6"/>
        <v>0</v>
      </c>
      <c r="U29" s="22" t="str">
        <f ca="1">IF(M29=0,IF(Q29&gt;0,"Cluster sans capacite provisionnee","n/a"),IF(OR(S29&gt;=Clusters_ROKS!$AC$5,T29&gt;=Clusters_ROKS!$AC$5,H29&gt;=Clusters_ROKS!$AC$6),"Seuil depasse","OK"))</f>
        <v>OK</v>
      </c>
      <c r="V29" s="27" t="str">
        <f ca="1">IF(COUNTIFS(tblProjection[Cluster],B29,tblProjection[Statut],"Seuil depasse")&gt;0,"O","N")</f>
        <v>N</v>
      </c>
      <c r="W29" s="28" t="str">
        <f>IF(G29="","",IFERROR(INDEX(tblFlavors[Famille],MATCH(G29,tblFlavors[Flavor],0)),""))</f>
        <v>mx2</v>
      </c>
      <c r="X29" s="24">
        <f>IF(W29="","",_xlfn.MAXIFS(tblFlavors[vCPU],tblFlavors[Famille],W29))</f>
        <v>128</v>
      </c>
      <c r="Y29" s="22" t="str">
        <f t="shared" si="7"/>
        <v>N</v>
      </c>
      <c r="Z29" s="28" t="str">
        <f>IF(OR(W29="",Y29="O"),"",IFERROR(INDEX(tblFlavors[Flavor],MATCH(W29&amp;"|"&amp;_xlfn.MINIFS(tblFlavors[vCPU],tblFlavors[Famille],W29,tblFlavors[vCPU],"&gt;"&amp;K29),tblFlavors[Cle Famille vCPU],0)),""))</f>
        <v>mx2-48x384</v>
      </c>
    </row>
    <row r="30" spans="1:26" x14ac:dyDescent="0.2">
      <c r="A30" s="16"/>
      <c r="B30" s="16" t="s">
        <v>204</v>
      </c>
      <c r="C30" s="16" t="s">
        <v>106</v>
      </c>
      <c r="D30" s="16" t="s">
        <v>203</v>
      </c>
      <c r="E30" s="22" t="str">
        <f t="shared" si="0"/>
        <v>Dedie</v>
      </c>
      <c r="F30" s="16" t="s">
        <v>157</v>
      </c>
      <c r="G30" s="16" t="s">
        <v>117</v>
      </c>
      <c r="H30" s="17">
        <v>9</v>
      </c>
      <c r="I30" s="23">
        <v>0</v>
      </c>
      <c r="J30" s="23">
        <v>0</v>
      </c>
      <c r="K30" s="24">
        <f>IF(G30="","",IFERROR(INDEX(tblFlavors[vCPU],MATCH(G30,tblFlavors[Flavor],0)),""))</f>
        <v>32</v>
      </c>
      <c r="L30" s="24">
        <f>IF(G30="","",IFERROR(INDEX(tblFlavors[RAM (Go)],MATCH(G30,tblFlavors[Flavor],0)),""))</f>
        <v>256</v>
      </c>
      <c r="M30" s="25">
        <f t="shared" si="1"/>
        <v>288</v>
      </c>
      <c r="N30" s="25">
        <f t="shared" si="2"/>
        <v>2304</v>
      </c>
      <c r="O30" s="24">
        <f ca="1">SUMIFS(tblApplications[CPU cible ROKS],tblApplications[Cluster ROKS cible (auto)],B30,tblApplications[Inclus projection O/N],"O")</f>
        <v>0</v>
      </c>
      <c r="P30" s="24">
        <f ca="1">SUMIFS(tblApplications[RAM cible ROKS],tblApplications[Cluster ROKS cible (auto)],B30,tblApplications[Inclus projection O/N],"O")</f>
        <v>0</v>
      </c>
      <c r="Q30" s="25">
        <f t="shared" ca="1" si="3"/>
        <v>0</v>
      </c>
      <c r="R30" s="25">
        <f t="shared" ca="1" si="4"/>
        <v>0</v>
      </c>
      <c r="S30" s="26">
        <f t="shared" ca="1" si="5"/>
        <v>0</v>
      </c>
      <c r="T30" s="26">
        <f t="shared" ca="1" si="6"/>
        <v>0</v>
      </c>
      <c r="U30" s="22" t="str">
        <f ca="1">IF(M30=0,IF(Q30&gt;0,"Cluster sans capacite provisionnee","n/a"),IF(OR(S30&gt;=Clusters_ROKS!$AC$5,T30&gt;=Clusters_ROKS!$AC$5,H30&gt;=Clusters_ROKS!$AC$6),"Seuil depasse","OK"))</f>
        <v>OK</v>
      </c>
      <c r="V30" s="27" t="str">
        <f ca="1">IF(COUNTIFS(tblProjection[Cluster],B30,tblProjection[Statut],"Seuil depasse")&gt;0,"O","N")</f>
        <v>N</v>
      </c>
      <c r="W30" s="28" t="str">
        <f>IF(G30="","",IFERROR(INDEX(tblFlavors[Famille],MATCH(G30,tblFlavors[Flavor],0)),""))</f>
        <v>mx2</v>
      </c>
      <c r="X30" s="24">
        <f>IF(W30="","",_xlfn.MAXIFS(tblFlavors[vCPU],tblFlavors[Famille],W30))</f>
        <v>128</v>
      </c>
      <c r="Y30" s="22" t="str">
        <f t="shared" si="7"/>
        <v>N</v>
      </c>
      <c r="Z30" s="28" t="str">
        <f>IF(OR(W30="",Y30="O"),"",IFERROR(INDEX(tblFlavors[Flavor],MATCH(W30&amp;"|"&amp;_xlfn.MINIFS(tblFlavors[vCPU],tblFlavors[Famille],W30,tblFlavors[vCPU],"&gt;"&amp;K30),tblFlavors[Cle Famille vCPU],0)),""))</f>
        <v>mx2-48x384</v>
      </c>
    </row>
    <row r="31" spans="1:26" x14ac:dyDescent="0.2">
      <c r="A31" s="16"/>
      <c r="B31" s="16" t="s">
        <v>205</v>
      </c>
      <c r="C31" s="16" t="s">
        <v>106</v>
      </c>
      <c r="D31" s="16" t="s">
        <v>201</v>
      </c>
      <c r="E31" s="22" t="str">
        <f t="shared" si="0"/>
        <v>Dedie</v>
      </c>
      <c r="F31" s="16" t="s">
        <v>153</v>
      </c>
      <c r="G31" s="16" t="s">
        <v>121</v>
      </c>
      <c r="H31" s="17">
        <v>6</v>
      </c>
      <c r="I31" s="23">
        <v>0</v>
      </c>
      <c r="J31" s="23">
        <v>0</v>
      </c>
      <c r="K31" s="24">
        <f>IF(G31="","",IFERROR(INDEX(tblFlavors[vCPU],MATCH(G31,tblFlavors[Flavor],0)),""))</f>
        <v>64</v>
      </c>
      <c r="L31" s="24">
        <f>IF(G31="","",IFERROR(INDEX(tblFlavors[RAM (Go)],MATCH(G31,tblFlavors[Flavor],0)),""))</f>
        <v>512</v>
      </c>
      <c r="M31" s="25">
        <f t="shared" si="1"/>
        <v>384</v>
      </c>
      <c r="N31" s="25">
        <f t="shared" si="2"/>
        <v>3072</v>
      </c>
      <c r="O31" s="24">
        <f ca="1">SUMIFS(tblApplications[CPU cible ROKS],tblApplications[Cluster ROKS cible (auto)],B31,tblApplications[Inclus projection O/N],"O")</f>
        <v>0</v>
      </c>
      <c r="P31" s="24">
        <f ca="1">SUMIFS(tblApplications[RAM cible ROKS],tblApplications[Cluster ROKS cible (auto)],B31,tblApplications[Inclus projection O/N],"O")</f>
        <v>0</v>
      </c>
      <c r="Q31" s="25">
        <f t="shared" ca="1" si="3"/>
        <v>0</v>
      </c>
      <c r="R31" s="25">
        <f t="shared" ca="1" si="4"/>
        <v>0</v>
      </c>
      <c r="S31" s="26">
        <f t="shared" ca="1" si="5"/>
        <v>0</v>
      </c>
      <c r="T31" s="26">
        <f t="shared" ca="1" si="6"/>
        <v>0</v>
      </c>
      <c r="U31" s="22" t="str">
        <f ca="1">IF(M31=0,IF(Q31&gt;0,"Cluster sans capacite provisionnee","n/a"),IF(OR(S31&gt;=Clusters_ROKS!$AC$5,T31&gt;=Clusters_ROKS!$AC$5,H31&gt;=Clusters_ROKS!$AC$6),"Seuil depasse","OK"))</f>
        <v>OK</v>
      </c>
      <c r="V31" s="27" t="str">
        <f ca="1">IF(COUNTIFS(tblProjection[Cluster],B31,tblProjection[Statut],"Seuil depasse")&gt;0,"O","N")</f>
        <v>N</v>
      </c>
      <c r="W31" s="28" t="str">
        <f>IF(G31="","",IFERROR(INDEX(tblFlavors[Famille],MATCH(G31,tblFlavors[Flavor],0)),""))</f>
        <v>mx2</v>
      </c>
      <c r="X31" s="24">
        <f>IF(W31="","",_xlfn.MAXIFS(tblFlavors[vCPU],tblFlavors[Famille],W31))</f>
        <v>128</v>
      </c>
      <c r="Y31" s="22" t="str">
        <f t="shared" si="7"/>
        <v>N</v>
      </c>
      <c r="Z31" s="28" t="str">
        <f>IF(OR(W31="",Y31="O"),"",IFERROR(INDEX(tblFlavors[Flavor],MATCH(W31&amp;"|"&amp;_xlfn.MINIFS(tblFlavors[vCPU],tblFlavors[Famille],W31,tblFlavors[vCPU],"&gt;"&amp;K31),tblFlavors[Cle Famille vCPU],0)),""))</f>
        <v>mx2-128x1024</v>
      </c>
    </row>
    <row r="32" spans="1:26" x14ac:dyDescent="0.2">
      <c r="A32" s="16"/>
      <c r="B32" s="16" t="s">
        <v>206</v>
      </c>
      <c r="C32" s="16" t="s">
        <v>95</v>
      </c>
      <c r="D32" s="16" t="s">
        <v>207</v>
      </c>
      <c r="E32" s="22" t="str">
        <f t="shared" si="0"/>
        <v>Dedie</v>
      </c>
      <c r="F32" s="16" t="s">
        <v>153</v>
      </c>
      <c r="G32" s="16"/>
      <c r="H32" s="17">
        <v>0</v>
      </c>
      <c r="I32" s="23">
        <v>0</v>
      </c>
      <c r="J32" s="23">
        <v>0</v>
      </c>
      <c r="K32" s="24" t="str">
        <f>IF(G32="","",IFERROR(INDEX(tblFlavors[vCPU],MATCH(G32,tblFlavors[Flavor],0)),""))</f>
        <v/>
      </c>
      <c r="L32" s="24" t="str">
        <f>IF(G32="","",IFERROR(INDEX(tblFlavors[RAM (Go)],MATCH(G32,tblFlavors[Flavor],0)),""))</f>
        <v/>
      </c>
      <c r="M32" s="25">
        <f t="shared" si="1"/>
        <v>0</v>
      </c>
      <c r="N32" s="25">
        <f t="shared" si="2"/>
        <v>0</v>
      </c>
      <c r="O32" s="24">
        <f ca="1">SUMIFS(tblApplications[CPU cible ROKS],tblApplications[Cluster ROKS cible (auto)],B32,tblApplications[Inclus projection O/N],"O")</f>
        <v>20</v>
      </c>
      <c r="P32" s="24">
        <f ca="1">SUMIFS(tblApplications[RAM cible ROKS],tblApplications[Cluster ROKS cible (auto)],B32,tblApplications[Inclus projection O/N],"O")</f>
        <v>78</v>
      </c>
      <c r="Q32" s="25">
        <f t="shared" ca="1" si="3"/>
        <v>20</v>
      </c>
      <c r="R32" s="25">
        <f t="shared" ca="1" si="4"/>
        <v>78</v>
      </c>
      <c r="S32" s="26" t="str">
        <f t="shared" si="5"/>
        <v/>
      </c>
      <c r="T32" s="26" t="str">
        <f t="shared" si="6"/>
        <v/>
      </c>
      <c r="U32" s="22" t="str">
        <f ca="1">IF(M32=0,IF(Q32&gt;0,"Cluster sans capacite provisionnee","n/a"),IF(OR(S32&gt;=Clusters_ROKS!$AC$5,T32&gt;=Clusters_ROKS!$AC$5,H32&gt;=Clusters_ROKS!$AC$6),"Seuil depasse","OK"))</f>
        <v>Cluster sans capacite provisionnee</v>
      </c>
      <c r="V32" s="27" t="str">
        <f ca="1">IF(COUNTIFS(tblProjection[Cluster],B32,tblProjection[Statut],"Seuil depasse")&gt;0,"O","N")</f>
        <v>N</v>
      </c>
      <c r="W32" s="28" t="str">
        <f>IF(G32="","",IFERROR(INDEX(tblFlavors[Famille],MATCH(G32,tblFlavors[Flavor],0)),""))</f>
        <v/>
      </c>
      <c r="X32" s="24" t="str">
        <f>IF(W32="","",_xlfn.MAXIFS(tblFlavors[vCPU],tblFlavors[Famille],W32))</f>
        <v/>
      </c>
      <c r="Y32" s="22" t="str">
        <f t="shared" si="7"/>
        <v/>
      </c>
      <c r="Z32" s="28" t="str">
        <f>IF(OR(W32="",Y32="O"),"",IFERROR(INDEX(tblFlavors[Flavor],MATCH(W32&amp;"|"&amp;_xlfn.MINIFS(tblFlavors[vCPU],tblFlavors[Famille],W32,tblFlavors[vCPU],"&gt;"&amp;K32),tblFlavors[Cle Famille vCPU],0)),""))</f>
        <v/>
      </c>
    </row>
    <row r="33" spans="1:26" x14ac:dyDescent="0.2">
      <c r="A33" s="16"/>
      <c r="B33" s="16" t="s">
        <v>208</v>
      </c>
      <c r="C33" s="16" t="s">
        <v>95</v>
      </c>
      <c r="D33" s="16" t="s">
        <v>209</v>
      </c>
      <c r="E33" s="22" t="str">
        <f t="shared" si="0"/>
        <v>Dedie</v>
      </c>
      <c r="F33" s="16" t="s">
        <v>153</v>
      </c>
      <c r="G33" s="16"/>
      <c r="H33" s="17">
        <v>0</v>
      </c>
      <c r="I33" s="23">
        <v>0</v>
      </c>
      <c r="J33" s="23">
        <v>0</v>
      </c>
      <c r="K33" s="24" t="str">
        <f>IF(G33="","",IFERROR(INDEX(tblFlavors[vCPU],MATCH(G33,tblFlavors[Flavor],0)),""))</f>
        <v/>
      </c>
      <c r="L33" s="24" t="str">
        <f>IF(G33="","",IFERROR(INDEX(tblFlavors[RAM (Go)],MATCH(G33,tblFlavors[Flavor],0)),""))</f>
        <v/>
      </c>
      <c r="M33" s="25">
        <f t="shared" si="1"/>
        <v>0</v>
      </c>
      <c r="N33" s="25">
        <f t="shared" si="2"/>
        <v>0</v>
      </c>
      <c r="O33" s="24">
        <f ca="1">SUMIFS(tblApplications[CPU cible ROKS],tblApplications[Cluster ROKS cible (auto)],B33,tblApplications[Inclus projection O/N],"O")</f>
        <v>0</v>
      </c>
      <c r="P33" s="24">
        <f ca="1">SUMIFS(tblApplications[RAM cible ROKS],tblApplications[Cluster ROKS cible (auto)],B33,tblApplications[Inclus projection O/N],"O")</f>
        <v>0</v>
      </c>
      <c r="Q33" s="25">
        <f t="shared" ca="1" si="3"/>
        <v>0</v>
      </c>
      <c r="R33" s="25">
        <f t="shared" ca="1" si="4"/>
        <v>0</v>
      </c>
      <c r="S33" s="26" t="str">
        <f t="shared" si="5"/>
        <v/>
      </c>
      <c r="T33" s="26" t="str">
        <f t="shared" si="6"/>
        <v/>
      </c>
      <c r="U33" s="22" t="str">
        <f ca="1">IF(M33=0,IF(Q33&gt;0,"Cluster sans capacite provisionnee","n/a"),IF(OR(S33&gt;=Clusters_ROKS!$AC$5,T33&gt;=Clusters_ROKS!$AC$5,H33&gt;=Clusters_ROKS!$AC$6),"Seuil depasse","OK"))</f>
        <v>n/a</v>
      </c>
      <c r="V33" s="27" t="str">
        <f ca="1">IF(COUNTIFS(tblProjection[Cluster],B33,tblProjection[Statut],"Seuil depasse")&gt;0,"O","N")</f>
        <v>N</v>
      </c>
      <c r="W33" s="28" t="str">
        <f>IF(G33="","",IFERROR(INDEX(tblFlavors[Famille],MATCH(G33,tblFlavors[Flavor],0)),""))</f>
        <v/>
      </c>
      <c r="X33" s="24" t="str">
        <f>IF(W33="","",_xlfn.MAXIFS(tblFlavors[vCPU],tblFlavors[Famille],W33))</f>
        <v/>
      </c>
      <c r="Y33" s="22" t="str">
        <f t="shared" si="7"/>
        <v/>
      </c>
      <c r="Z33" s="28" t="str">
        <f>IF(OR(W33="",Y33="O"),"",IFERROR(INDEX(tblFlavors[Flavor],MATCH(W33&amp;"|"&amp;_xlfn.MINIFS(tblFlavors[vCPU],tblFlavors[Famille],W33,tblFlavors[vCPU],"&gt;"&amp;K33),tblFlavors[Cle Famille vCPU],0)),""))</f>
        <v/>
      </c>
    </row>
    <row r="34" spans="1:26" x14ac:dyDescent="0.2">
      <c r="A34" s="16"/>
      <c r="B34" s="16" t="s">
        <v>210</v>
      </c>
      <c r="C34" s="16" t="s">
        <v>106</v>
      </c>
      <c r="D34" s="16" t="s">
        <v>211</v>
      </c>
      <c r="E34" s="22" t="str">
        <f t="shared" si="0"/>
        <v>Dedie</v>
      </c>
      <c r="F34" s="16" t="s">
        <v>157</v>
      </c>
      <c r="G34" s="16"/>
      <c r="H34" s="17">
        <v>0</v>
      </c>
      <c r="I34" s="23">
        <v>0</v>
      </c>
      <c r="J34" s="23">
        <v>0</v>
      </c>
      <c r="K34" s="24" t="str">
        <f>IF(G34="","",IFERROR(INDEX(tblFlavors[vCPU],MATCH(G34,tblFlavors[Flavor],0)),""))</f>
        <v/>
      </c>
      <c r="L34" s="24" t="str">
        <f>IF(G34="","",IFERROR(INDEX(tblFlavors[RAM (Go)],MATCH(G34,tblFlavors[Flavor],0)),""))</f>
        <v/>
      </c>
      <c r="M34" s="25">
        <f t="shared" si="1"/>
        <v>0</v>
      </c>
      <c r="N34" s="25">
        <f t="shared" si="2"/>
        <v>0</v>
      </c>
      <c r="O34" s="24">
        <f ca="1">SUMIFS(tblApplications[CPU cible ROKS],tblApplications[Cluster ROKS cible (auto)],B34,tblApplications[Inclus projection O/N],"O")</f>
        <v>0</v>
      </c>
      <c r="P34" s="24">
        <f ca="1">SUMIFS(tblApplications[RAM cible ROKS],tblApplications[Cluster ROKS cible (auto)],B34,tblApplications[Inclus projection O/N],"O")</f>
        <v>0</v>
      </c>
      <c r="Q34" s="25">
        <f t="shared" ca="1" si="3"/>
        <v>0</v>
      </c>
      <c r="R34" s="25">
        <f t="shared" ca="1" si="4"/>
        <v>0</v>
      </c>
      <c r="S34" s="26" t="str">
        <f t="shared" si="5"/>
        <v/>
      </c>
      <c r="T34" s="26" t="str">
        <f t="shared" si="6"/>
        <v/>
      </c>
      <c r="U34" s="22" t="str">
        <f ca="1">IF(M34=0,IF(Q34&gt;0,"Cluster sans capacite provisionnee","n/a"),IF(OR(S34&gt;=Clusters_ROKS!$AC$5,T34&gt;=Clusters_ROKS!$AC$5,H34&gt;=Clusters_ROKS!$AC$6),"Seuil depasse","OK"))</f>
        <v>n/a</v>
      </c>
      <c r="V34" s="27" t="str">
        <f ca="1">IF(COUNTIFS(tblProjection[Cluster],B34,tblProjection[Statut],"Seuil depasse")&gt;0,"O","N")</f>
        <v>N</v>
      </c>
      <c r="W34" s="28" t="str">
        <f>IF(G34="","",IFERROR(INDEX(tblFlavors[Famille],MATCH(G34,tblFlavors[Flavor],0)),""))</f>
        <v/>
      </c>
      <c r="X34" s="24" t="str">
        <f>IF(W34="","",_xlfn.MAXIFS(tblFlavors[vCPU],tblFlavors[Famille],W34))</f>
        <v/>
      </c>
      <c r="Y34" s="22" t="str">
        <f t="shared" si="7"/>
        <v/>
      </c>
      <c r="Z34" s="28" t="str">
        <f>IF(OR(W34="",Y34="O"),"",IFERROR(INDEX(tblFlavors[Flavor],MATCH(W34&amp;"|"&amp;_xlfn.MINIFS(tblFlavors[vCPU],tblFlavors[Famille],W34,tblFlavors[vCPU],"&gt;"&amp;K34),tblFlavors[Cle Famille vCPU],0)),""))</f>
        <v/>
      </c>
    </row>
    <row r="36" spans="1:26" x14ac:dyDescent="0.2">
      <c r="A36" s="48" t="s">
        <v>212</v>
      </c>
      <c r="B36" s="47"/>
      <c r="C36" s="47"/>
      <c r="D36" s="47"/>
      <c r="E36" s="47"/>
      <c r="F36" s="47"/>
      <c r="G36" s="47"/>
      <c r="H36" s="47"/>
      <c r="I36" s="47"/>
      <c r="J36" s="47"/>
      <c r="K36" s="47"/>
      <c r="L36" s="47"/>
    </row>
    <row r="37" spans="1:26" x14ac:dyDescent="0.2">
      <c r="A37" s="47"/>
      <c r="B37" s="47"/>
      <c r="C37" s="47"/>
      <c r="D37" s="47"/>
      <c r="E37" s="47"/>
      <c r="F37" s="47"/>
      <c r="G37" s="47"/>
      <c r="H37" s="47"/>
      <c r="I37" s="47"/>
      <c r="J37" s="47"/>
      <c r="K37" s="47"/>
      <c r="L37" s="47"/>
    </row>
    <row r="38" spans="1:26" x14ac:dyDescent="0.2">
      <c r="A38" s="47"/>
      <c r="B38" s="47"/>
      <c r="C38" s="47"/>
      <c r="D38" s="47"/>
      <c r="E38" s="47"/>
      <c r="F38" s="47"/>
      <c r="G38" s="47"/>
      <c r="H38" s="47"/>
      <c r="I38" s="47"/>
      <c r="J38" s="47"/>
      <c r="K38" s="47"/>
      <c r="L38" s="47"/>
    </row>
  </sheetData>
  <mergeCells count="3">
    <mergeCell ref="A3:L3"/>
    <mergeCell ref="AB4:AC4"/>
    <mergeCell ref="A36:L38"/>
  </mergeCells>
  <conditionalFormatting sqref="A5:Z34">
    <cfRule type="expression" dxfId="6" priority="1">
      <formula>ISNUMBER(SEARCH("Seuil depasse",$U5))</formula>
    </cfRule>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9"/>
  <sheetViews>
    <sheetView showGridLines="0" workbookViewId="0">
      <pane ySplit="4" topLeftCell="A5" activePane="bottomLeft" state="frozen"/>
      <selection pane="bottomLeft"/>
    </sheetView>
  </sheetViews>
  <sheetFormatPr baseColWidth="10" defaultColWidth="8.83203125" defaultRowHeight="15" x14ac:dyDescent="0.2"/>
  <cols>
    <col min="1" max="1" width="26" customWidth="1"/>
    <col min="2" max="3" width="14" customWidth="1"/>
    <col min="4" max="5" width="20" customWidth="1"/>
    <col min="6" max="6" width="30" customWidth="1"/>
    <col min="7" max="8" width="16" customWidth="1"/>
  </cols>
  <sheetData>
    <row r="1" spans="1:8" ht="18" x14ac:dyDescent="0.2">
      <c r="A1" s="1" t="s">
        <v>213</v>
      </c>
    </row>
    <row r="2" spans="1:8" x14ac:dyDescent="0.2">
      <c r="A2" s="2" t="s">
        <v>214</v>
      </c>
    </row>
    <row r="3" spans="1:8" ht="42" customHeight="1" x14ac:dyDescent="0.2">
      <c r="A3" s="49" t="s">
        <v>215</v>
      </c>
      <c r="B3" s="47"/>
      <c r="C3" s="47"/>
      <c r="D3" s="47"/>
      <c r="E3" s="47"/>
      <c r="F3" s="47"/>
      <c r="G3" s="47"/>
    </row>
    <row r="4" spans="1:8" ht="28" x14ac:dyDescent="0.2">
      <c r="A4" s="15" t="s">
        <v>216</v>
      </c>
      <c r="B4" s="15" t="s">
        <v>217</v>
      </c>
      <c r="C4" s="15" t="s">
        <v>79</v>
      </c>
      <c r="D4" s="15" t="s">
        <v>218</v>
      </c>
      <c r="E4" s="15" t="s">
        <v>219</v>
      </c>
      <c r="F4" s="15" t="s">
        <v>220</v>
      </c>
      <c r="G4" s="15" t="s">
        <v>221</v>
      </c>
      <c r="H4" s="15" t="s">
        <v>222</v>
      </c>
    </row>
    <row r="5" spans="1:8" x14ac:dyDescent="0.2">
      <c r="A5" s="16" t="s">
        <v>223</v>
      </c>
      <c r="B5" s="16" t="s">
        <v>224</v>
      </c>
      <c r="C5" s="16" t="s">
        <v>153</v>
      </c>
      <c r="D5" s="16" t="s">
        <v>151</v>
      </c>
      <c r="E5" s="16"/>
      <c r="F5" s="21" t="str">
        <f t="shared" ref="F5:F36" si="0">A5&amp;"|"&amp;B5&amp;"|"&amp;C5</f>
        <v>GIE France|N|PROD</v>
      </c>
      <c r="G5" s="27" t="str">
        <f>IF(COUNTIF(tblClusters[Cluster],D5)&gt;0,"OK","Introuvable")</f>
        <v>OK</v>
      </c>
      <c r="H5" s="27" t="str">
        <f>IF(E5="","",IF(COUNTIF(tblClusters[Cluster],E5)&gt;0,"OK","Introuvable"))</f>
        <v/>
      </c>
    </row>
    <row r="6" spans="1:8" x14ac:dyDescent="0.2">
      <c r="A6" s="16" t="s">
        <v>223</v>
      </c>
      <c r="B6" s="16" t="s">
        <v>224</v>
      </c>
      <c r="C6" s="16" t="s">
        <v>157</v>
      </c>
      <c r="D6" s="16" t="s">
        <v>156</v>
      </c>
      <c r="E6" s="16"/>
      <c r="F6" s="21" t="str">
        <f t="shared" si="0"/>
        <v>GIE France|N|HORSPROD</v>
      </c>
      <c r="G6" s="27" t="str">
        <f>IF(COUNTIF(tblClusters[Cluster],D6)&gt;0,"OK","Introuvable")</f>
        <v>OK</v>
      </c>
      <c r="H6" s="27" t="str">
        <f>IF(E6="","",IF(COUNTIF(tblClusters[Cluster],E6)&gt;0,"OK","Introuvable"))</f>
        <v/>
      </c>
    </row>
    <row r="7" spans="1:8" x14ac:dyDescent="0.2">
      <c r="A7" s="16" t="s">
        <v>223</v>
      </c>
      <c r="B7" s="16" t="s">
        <v>225</v>
      </c>
      <c r="C7" s="16" t="s">
        <v>153</v>
      </c>
      <c r="D7" s="16" t="s">
        <v>159</v>
      </c>
      <c r="E7" s="16"/>
      <c r="F7" s="21" t="str">
        <f t="shared" si="0"/>
        <v>GIE France|O|PROD</v>
      </c>
      <c r="G7" s="27" t="str">
        <f>IF(COUNTIF(tblClusters[Cluster],D7)&gt;0,"OK","Introuvable")</f>
        <v>OK</v>
      </c>
      <c r="H7" s="27" t="str">
        <f>IF(E7="","",IF(COUNTIF(tblClusters[Cluster],E7)&gt;0,"OK","Introuvable"))</f>
        <v/>
      </c>
    </row>
    <row r="8" spans="1:8" x14ac:dyDescent="0.2">
      <c r="A8" s="16" t="s">
        <v>223</v>
      </c>
      <c r="B8" s="16" t="s">
        <v>225</v>
      </c>
      <c r="C8" s="16" t="s">
        <v>157</v>
      </c>
      <c r="D8" s="16" t="s">
        <v>161</v>
      </c>
      <c r="E8" s="16"/>
      <c r="F8" s="21" t="str">
        <f t="shared" si="0"/>
        <v>GIE France|O|HORSPROD</v>
      </c>
      <c r="G8" s="27" t="str">
        <f>IF(COUNTIF(tblClusters[Cluster],D8)&gt;0,"OK","Introuvable")</f>
        <v>OK</v>
      </c>
      <c r="H8" s="27" t="str">
        <f>IF(E8="","",IF(COUNTIF(tblClusters[Cluster],E8)&gt;0,"OK","Introuvable"))</f>
        <v/>
      </c>
    </row>
    <row r="9" spans="1:8" x14ac:dyDescent="0.2">
      <c r="A9" s="16" t="s">
        <v>226</v>
      </c>
      <c r="B9" s="16" t="s">
        <v>224</v>
      </c>
      <c r="C9" s="16" t="s">
        <v>153</v>
      </c>
      <c r="D9" s="16" t="s">
        <v>163</v>
      </c>
      <c r="E9" s="16"/>
      <c r="F9" s="21" t="str">
        <f t="shared" si="0"/>
        <v>Italy|N|PROD</v>
      </c>
      <c r="G9" s="27" t="str">
        <f>IF(COUNTIF(tblClusters[Cluster],D9)&gt;0,"OK","Introuvable")</f>
        <v>OK</v>
      </c>
      <c r="H9" s="27" t="str">
        <f>IF(E9="","",IF(COUNTIF(tblClusters[Cluster],E9)&gt;0,"OK","Introuvable"))</f>
        <v/>
      </c>
    </row>
    <row r="10" spans="1:8" x14ac:dyDescent="0.2">
      <c r="A10" s="16" t="s">
        <v>226</v>
      </c>
      <c r="B10" s="16" t="s">
        <v>224</v>
      </c>
      <c r="C10" s="16" t="s">
        <v>157</v>
      </c>
      <c r="D10" s="16" t="s">
        <v>166</v>
      </c>
      <c r="E10" s="16"/>
      <c r="F10" s="21" t="str">
        <f t="shared" si="0"/>
        <v>Italy|N|HORSPROD</v>
      </c>
      <c r="G10" s="27" t="str">
        <f>IF(COUNTIF(tblClusters[Cluster],D10)&gt;0,"OK","Introuvable")</f>
        <v>OK</v>
      </c>
      <c r="H10" s="27" t="str">
        <f>IF(E10="","",IF(COUNTIF(tblClusters[Cluster],E10)&gt;0,"OK","Introuvable"))</f>
        <v/>
      </c>
    </row>
    <row r="11" spans="1:8" x14ac:dyDescent="0.2">
      <c r="A11" s="16" t="s">
        <v>226</v>
      </c>
      <c r="B11" s="16" t="s">
        <v>225</v>
      </c>
      <c r="C11" s="16" t="s">
        <v>153</v>
      </c>
      <c r="D11" s="16" t="s">
        <v>208</v>
      </c>
      <c r="E11" s="16"/>
      <c r="F11" s="21" t="str">
        <f t="shared" si="0"/>
        <v>Italy|O|PROD</v>
      </c>
      <c r="G11" s="27" t="str">
        <f>IF(COUNTIF(tblClusters[Cluster],D11)&gt;0,"OK","Introuvable")</f>
        <v>OK</v>
      </c>
      <c r="H11" s="27" t="str">
        <f>IF(E11="","",IF(COUNTIF(tblClusters[Cluster],E11)&gt;0,"OK","Introuvable"))</f>
        <v/>
      </c>
    </row>
    <row r="12" spans="1:8" x14ac:dyDescent="0.2">
      <c r="A12" s="16" t="s">
        <v>226</v>
      </c>
      <c r="B12" s="16" t="s">
        <v>225</v>
      </c>
      <c r="C12" s="16" t="s">
        <v>157</v>
      </c>
      <c r="D12" s="32" t="s">
        <v>227</v>
      </c>
      <c r="E12" s="16"/>
      <c r="F12" s="21" t="str">
        <f t="shared" si="0"/>
        <v>Italy|O|HORSPROD</v>
      </c>
      <c r="G12" s="27" t="str">
        <f>IF(COUNTIF(tblClusters[Cluster],D12)&gt;0,"OK","Introuvable")</f>
        <v>Introuvable</v>
      </c>
      <c r="H12" s="27" t="str">
        <f>IF(E12="","",IF(COUNTIF(tblClusters[Cluster],E12)&gt;0,"OK","Introuvable"))</f>
        <v/>
      </c>
    </row>
    <row r="13" spans="1:8" x14ac:dyDescent="0.2">
      <c r="A13" s="16" t="s">
        <v>228</v>
      </c>
      <c r="B13" s="16" t="s">
        <v>224</v>
      </c>
      <c r="C13" s="16" t="s">
        <v>153</v>
      </c>
      <c r="D13" s="16" t="s">
        <v>206</v>
      </c>
      <c r="E13" s="16"/>
      <c r="F13" s="21" t="str">
        <f t="shared" si="0"/>
        <v>LATAM|N|PROD</v>
      </c>
      <c r="G13" s="27" t="str">
        <f>IF(COUNTIF(tblClusters[Cluster],D13)&gt;0,"OK","Introuvable")</f>
        <v>OK</v>
      </c>
      <c r="H13" s="27" t="str">
        <f>IF(E13="","",IF(COUNTIF(tblClusters[Cluster],E13)&gt;0,"OK","Introuvable"))</f>
        <v/>
      </c>
    </row>
    <row r="14" spans="1:8" x14ac:dyDescent="0.2">
      <c r="A14" s="16" t="s">
        <v>228</v>
      </c>
      <c r="B14" s="16" t="s">
        <v>224</v>
      </c>
      <c r="C14" s="16" t="s">
        <v>157</v>
      </c>
      <c r="D14" s="16" t="s">
        <v>168</v>
      </c>
      <c r="E14" s="16"/>
      <c r="F14" s="21" t="str">
        <f t="shared" si="0"/>
        <v>LATAM|N|HORSPROD</v>
      </c>
      <c r="G14" s="27" t="str">
        <f>IF(COUNTIF(tblClusters[Cluster],D14)&gt;0,"OK","Introuvable")</f>
        <v>OK</v>
      </c>
      <c r="H14" s="27" t="str">
        <f>IF(E14="","",IF(COUNTIF(tblClusters[Cluster],E14)&gt;0,"OK","Introuvable"))</f>
        <v/>
      </c>
    </row>
    <row r="15" spans="1:8" x14ac:dyDescent="0.2">
      <c r="A15" s="16" t="s">
        <v>228</v>
      </c>
      <c r="B15" s="16" t="s">
        <v>225</v>
      </c>
      <c r="C15" s="16" t="s">
        <v>153</v>
      </c>
      <c r="D15" s="32" t="s">
        <v>227</v>
      </c>
      <c r="E15" s="16"/>
      <c r="F15" s="21" t="str">
        <f t="shared" si="0"/>
        <v>LATAM|O|PROD</v>
      </c>
      <c r="G15" s="27" t="str">
        <f>IF(COUNTIF(tblClusters[Cluster],D15)&gt;0,"OK","Introuvable")</f>
        <v>Introuvable</v>
      </c>
      <c r="H15" s="27" t="str">
        <f>IF(E15="","",IF(COUNTIF(tblClusters[Cluster],E15)&gt;0,"OK","Introuvable"))</f>
        <v/>
      </c>
    </row>
    <row r="16" spans="1:8" x14ac:dyDescent="0.2">
      <c r="A16" s="16" t="s">
        <v>228</v>
      </c>
      <c r="B16" s="16" t="s">
        <v>225</v>
      </c>
      <c r="C16" s="16" t="s">
        <v>157</v>
      </c>
      <c r="D16" s="16" t="s">
        <v>173</v>
      </c>
      <c r="E16" s="16"/>
      <c r="F16" s="21" t="str">
        <f t="shared" si="0"/>
        <v>LATAM|O|HORSPROD</v>
      </c>
      <c r="G16" s="27" t="str">
        <f>IF(COUNTIF(tblClusters[Cluster],D16)&gt;0,"OK","Introuvable")</f>
        <v>OK</v>
      </c>
      <c r="H16" s="27" t="str">
        <f>IF(E16="","",IF(COUNTIF(tblClusters[Cluster],E16)&gt;0,"OK","Introuvable"))</f>
        <v/>
      </c>
    </row>
    <row r="17" spans="1:8" x14ac:dyDescent="0.2">
      <c r="A17" s="16" t="s">
        <v>229</v>
      </c>
      <c r="B17" s="16" t="s">
        <v>224</v>
      </c>
      <c r="C17" s="16" t="s">
        <v>153</v>
      </c>
      <c r="D17" s="16" t="s">
        <v>174</v>
      </c>
      <c r="E17" s="16"/>
      <c r="F17" s="21" t="str">
        <f t="shared" si="0"/>
        <v>EMEA|N|PROD</v>
      </c>
      <c r="G17" s="27" t="str">
        <f>IF(COUNTIF(tblClusters[Cluster],D17)&gt;0,"OK","Introuvable")</f>
        <v>OK</v>
      </c>
      <c r="H17" s="27" t="str">
        <f>IF(E17="","",IF(COUNTIF(tblClusters[Cluster],E17)&gt;0,"OK","Introuvable"))</f>
        <v/>
      </c>
    </row>
    <row r="18" spans="1:8" x14ac:dyDescent="0.2">
      <c r="A18" s="16" t="s">
        <v>229</v>
      </c>
      <c r="B18" s="16" t="s">
        <v>224</v>
      </c>
      <c r="C18" s="16" t="s">
        <v>157</v>
      </c>
      <c r="D18" s="16" t="s">
        <v>176</v>
      </c>
      <c r="E18" s="16"/>
      <c r="F18" s="21" t="str">
        <f t="shared" si="0"/>
        <v>EMEA|N|HORSPROD</v>
      </c>
      <c r="G18" s="27" t="str">
        <f>IF(COUNTIF(tblClusters[Cluster],D18)&gt;0,"OK","Introuvable")</f>
        <v>OK</v>
      </c>
      <c r="H18" s="27" t="str">
        <f>IF(E18="","",IF(COUNTIF(tblClusters[Cluster],E18)&gt;0,"OK","Introuvable"))</f>
        <v/>
      </c>
    </row>
    <row r="19" spans="1:8" x14ac:dyDescent="0.2">
      <c r="A19" s="16" t="s">
        <v>229</v>
      </c>
      <c r="B19" s="16" t="s">
        <v>225</v>
      </c>
      <c r="C19" s="16" t="s">
        <v>153</v>
      </c>
      <c r="D19" s="16" t="s">
        <v>178</v>
      </c>
      <c r="E19" s="16"/>
      <c r="F19" s="21" t="str">
        <f t="shared" si="0"/>
        <v>EMEA|O|PROD</v>
      </c>
      <c r="G19" s="27" t="str">
        <f>IF(COUNTIF(tblClusters[Cluster],D19)&gt;0,"OK","Introuvable")</f>
        <v>OK</v>
      </c>
      <c r="H19" s="27" t="str">
        <f>IF(E19="","",IF(COUNTIF(tblClusters[Cluster],E19)&gt;0,"OK","Introuvable"))</f>
        <v/>
      </c>
    </row>
    <row r="20" spans="1:8" x14ac:dyDescent="0.2">
      <c r="A20" s="16" t="s">
        <v>229</v>
      </c>
      <c r="B20" s="16" t="s">
        <v>225</v>
      </c>
      <c r="C20" s="16" t="s">
        <v>157</v>
      </c>
      <c r="D20" s="32" t="s">
        <v>227</v>
      </c>
      <c r="E20" s="16"/>
      <c r="F20" s="21" t="str">
        <f t="shared" si="0"/>
        <v>EMEA|O|HORSPROD</v>
      </c>
      <c r="G20" s="27" t="str">
        <f>IF(COUNTIF(tblClusters[Cluster],D20)&gt;0,"OK","Introuvable")</f>
        <v>Introuvable</v>
      </c>
      <c r="H20" s="27" t="str">
        <f>IF(E20="","",IF(COUNTIF(tblClusters[Cluster],E20)&gt;0,"OK","Introuvable"))</f>
        <v/>
      </c>
    </row>
    <row r="21" spans="1:8" x14ac:dyDescent="0.2">
      <c r="A21" s="16" t="s">
        <v>201</v>
      </c>
      <c r="B21" s="16" t="s">
        <v>224</v>
      </c>
      <c r="C21" s="16" t="s">
        <v>153</v>
      </c>
      <c r="D21" s="16" t="s">
        <v>180</v>
      </c>
      <c r="E21" s="16"/>
      <c r="F21" s="21" t="str">
        <f t="shared" si="0"/>
        <v>JUMP AEP|N|PROD</v>
      </c>
      <c r="G21" s="27" t="str">
        <f>IF(COUNTIF(tblClusters[Cluster],D21)&gt;0,"OK","Introuvable")</f>
        <v>OK</v>
      </c>
      <c r="H21" s="27" t="str">
        <f>IF(E21="","",IF(COUNTIF(tblClusters[Cluster],E21)&gt;0,"OK","Introuvable"))</f>
        <v/>
      </c>
    </row>
    <row r="22" spans="1:8" x14ac:dyDescent="0.2">
      <c r="A22" s="16" t="s">
        <v>201</v>
      </c>
      <c r="B22" s="16" t="s">
        <v>225</v>
      </c>
      <c r="C22" s="16" t="s">
        <v>153</v>
      </c>
      <c r="D22" s="16" t="s">
        <v>180</v>
      </c>
      <c r="E22" s="16"/>
      <c r="F22" s="21" t="str">
        <f t="shared" si="0"/>
        <v>JUMP AEP|O|PROD</v>
      </c>
      <c r="G22" s="27" t="str">
        <f>IF(COUNTIF(tblClusters[Cluster],D22)&gt;0,"OK","Introuvable")</f>
        <v>OK</v>
      </c>
      <c r="H22" s="27" t="str">
        <f>IF(E22="","",IF(COUNTIF(tblClusters[Cluster],E22)&gt;0,"OK","Introuvable"))</f>
        <v/>
      </c>
    </row>
    <row r="23" spans="1:8" x14ac:dyDescent="0.2">
      <c r="A23" s="16" t="s">
        <v>201</v>
      </c>
      <c r="B23" s="16" t="s">
        <v>224</v>
      </c>
      <c r="C23" s="16" t="s">
        <v>157</v>
      </c>
      <c r="D23" s="16" t="s">
        <v>184</v>
      </c>
      <c r="E23" s="16"/>
      <c r="F23" s="21" t="str">
        <f t="shared" si="0"/>
        <v>JUMP AEP|N|HORSPROD</v>
      </c>
      <c r="G23" s="27" t="str">
        <f>IF(COUNTIF(tblClusters[Cluster],D23)&gt;0,"OK","Introuvable")</f>
        <v>OK</v>
      </c>
      <c r="H23" s="27" t="str">
        <f>IF(E23="","",IF(COUNTIF(tblClusters[Cluster],E23)&gt;0,"OK","Introuvable"))</f>
        <v/>
      </c>
    </row>
    <row r="24" spans="1:8" x14ac:dyDescent="0.2">
      <c r="A24" s="16" t="s">
        <v>201</v>
      </c>
      <c r="B24" s="16" t="s">
        <v>225</v>
      </c>
      <c r="C24" s="16" t="s">
        <v>157</v>
      </c>
      <c r="D24" s="16" t="s">
        <v>184</v>
      </c>
      <c r="E24" s="16"/>
      <c r="F24" s="21" t="str">
        <f t="shared" si="0"/>
        <v>JUMP AEP|O|HORSPROD</v>
      </c>
      <c r="G24" s="27" t="str">
        <f>IF(COUNTIF(tblClusters[Cluster],D24)&gt;0,"OK","Introuvable")</f>
        <v>OK</v>
      </c>
      <c r="H24" s="27" t="str">
        <f>IF(E24="","",IF(COUNTIF(tblClusters[Cluster],E24)&gt;0,"OK","Introuvable"))</f>
        <v/>
      </c>
    </row>
    <row r="25" spans="1:8" x14ac:dyDescent="0.2">
      <c r="A25" s="16" t="s">
        <v>203</v>
      </c>
      <c r="B25" s="16" t="s">
        <v>224</v>
      </c>
      <c r="C25" s="16" t="s">
        <v>153</v>
      </c>
      <c r="D25" s="16" t="s">
        <v>182</v>
      </c>
      <c r="E25" s="16"/>
      <c r="F25" s="21" t="str">
        <f t="shared" si="0"/>
        <v>JUMP CLV|N|PROD</v>
      </c>
      <c r="G25" s="27" t="str">
        <f>IF(COUNTIF(tblClusters[Cluster],D25)&gt;0,"OK","Introuvable")</f>
        <v>OK</v>
      </c>
      <c r="H25" s="27" t="str">
        <f>IF(E25="","",IF(COUNTIF(tblClusters[Cluster],E25)&gt;0,"OK","Introuvable"))</f>
        <v/>
      </c>
    </row>
    <row r="26" spans="1:8" x14ac:dyDescent="0.2">
      <c r="A26" s="16" t="s">
        <v>203</v>
      </c>
      <c r="B26" s="16" t="s">
        <v>225</v>
      </c>
      <c r="C26" s="16" t="s">
        <v>153</v>
      </c>
      <c r="D26" s="16" t="s">
        <v>182</v>
      </c>
      <c r="E26" s="16"/>
      <c r="F26" s="21" t="str">
        <f t="shared" si="0"/>
        <v>JUMP CLV|O|PROD</v>
      </c>
      <c r="G26" s="27" t="str">
        <f>IF(COUNTIF(tblClusters[Cluster],D26)&gt;0,"OK","Introuvable")</f>
        <v>OK</v>
      </c>
      <c r="H26" s="27" t="str">
        <f>IF(E26="","",IF(COUNTIF(tblClusters[Cluster],E26)&gt;0,"OK","Introuvable"))</f>
        <v/>
      </c>
    </row>
    <row r="27" spans="1:8" x14ac:dyDescent="0.2">
      <c r="A27" s="16" t="s">
        <v>203</v>
      </c>
      <c r="B27" s="16" t="s">
        <v>224</v>
      </c>
      <c r="C27" s="16" t="s">
        <v>157</v>
      </c>
      <c r="D27" s="16" t="s">
        <v>186</v>
      </c>
      <c r="E27" s="16"/>
      <c r="F27" s="21" t="str">
        <f t="shared" si="0"/>
        <v>JUMP CLV|N|HORSPROD</v>
      </c>
      <c r="G27" s="27" t="str">
        <f>IF(COUNTIF(tblClusters[Cluster],D27)&gt;0,"OK","Introuvable")</f>
        <v>OK</v>
      </c>
      <c r="H27" s="27" t="str">
        <f>IF(E27="","",IF(COUNTIF(tblClusters[Cluster],E27)&gt;0,"OK","Introuvable"))</f>
        <v/>
      </c>
    </row>
    <row r="28" spans="1:8" x14ac:dyDescent="0.2">
      <c r="A28" s="16" t="s">
        <v>203</v>
      </c>
      <c r="B28" s="16" t="s">
        <v>225</v>
      </c>
      <c r="C28" s="16" t="s">
        <v>157</v>
      </c>
      <c r="D28" s="16" t="s">
        <v>186</v>
      </c>
      <c r="E28" s="16"/>
      <c r="F28" s="21" t="str">
        <f t="shared" si="0"/>
        <v>JUMP CLV|O|HORSPROD</v>
      </c>
      <c r="G28" s="27" t="str">
        <f>IF(COUNTIF(tblClusters[Cluster],D28)&gt;0,"OK","Introuvable")</f>
        <v>OK</v>
      </c>
      <c r="H28" s="27" t="str">
        <f>IF(E28="","",IF(COUNTIF(tblClusters[Cluster],E28)&gt;0,"OK","Introuvable"))</f>
        <v/>
      </c>
    </row>
    <row r="29" spans="1:8" x14ac:dyDescent="0.2">
      <c r="A29" s="16" t="s">
        <v>230</v>
      </c>
      <c r="B29" s="16" t="s">
        <v>224</v>
      </c>
      <c r="C29" s="16" t="s">
        <v>153</v>
      </c>
      <c r="D29" s="16" t="s">
        <v>189</v>
      </c>
      <c r="E29" s="16"/>
      <c r="F29" s="21" t="str">
        <f t="shared" si="0"/>
        <v>PREZ-I GIE|N|PROD</v>
      </c>
      <c r="G29" s="27" t="str">
        <f>IF(COUNTIF(tblClusters[Cluster],D29)&gt;0,"OK","Introuvable")</f>
        <v>OK</v>
      </c>
      <c r="H29" s="27" t="str">
        <f>IF(E29="","",IF(COUNTIF(tblClusters[Cluster],E29)&gt;0,"OK","Introuvable"))</f>
        <v/>
      </c>
    </row>
    <row r="30" spans="1:8" x14ac:dyDescent="0.2">
      <c r="A30" s="16" t="s">
        <v>230</v>
      </c>
      <c r="B30" s="16" t="s">
        <v>225</v>
      </c>
      <c r="C30" s="16" t="s">
        <v>153</v>
      </c>
      <c r="D30" s="16" t="s">
        <v>189</v>
      </c>
      <c r="E30" s="16"/>
      <c r="F30" s="21" t="str">
        <f t="shared" si="0"/>
        <v>PREZ-I GIE|O|PROD</v>
      </c>
      <c r="G30" s="27" t="str">
        <f>IF(COUNTIF(tblClusters[Cluster],D30)&gt;0,"OK","Introuvable")</f>
        <v>OK</v>
      </c>
      <c r="H30" s="27" t="str">
        <f>IF(E30="","",IF(COUNTIF(tblClusters[Cluster],E30)&gt;0,"OK","Introuvable"))</f>
        <v/>
      </c>
    </row>
    <row r="31" spans="1:8" x14ac:dyDescent="0.2">
      <c r="A31" s="16" t="s">
        <v>230</v>
      </c>
      <c r="B31" s="16" t="s">
        <v>224</v>
      </c>
      <c r="C31" s="16" t="s">
        <v>157</v>
      </c>
      <c r="D31" s="16" t="s">
        <v>192</v>
      </c>
      <c r="E31" s="16"/>
      <c r="F31" s="21" t="str">
        <f t="shared" si="0"/>
        <v>PREZ-I GIE|N|HORSPROD</v>
      </c>
      <c r="G31" s="27" t="str">
        <f>IF(COUNTIF(tblClusters[Cluster],D31)&gt;0,"OK","Introuvable")</f>
        <v>OK</v>
      </c>
      <c r="H31" s="27" t="str">
        <f>IF(E31="","",IF(COUNTIF(tblClusters[Cluster],E31)&gt;0,"OK","Introuvable"))</f>
        <v/>
      </c>
    </row>
    <row r="32" spans="1:8" x14ac:dyDescent="0.2">
      <c r="A32" s="16" t="s">
        <v>230</v>
      </c>
      <c r="B32" s="16" t="s">
        <v>225</v>
      </c>
      <c r="C32" s="16" t="s">
        <v>157</v>
      </c>
      <c r="D32" s="16" t="s">
        <v>192</v>
      </c>
      <c r="E32" s="16"/>
      <c r="F32" s="21" t="str">
        <f t="shared" si="0"/>
        <v>PREZ-I GIE|O|HORSPROD</v>
      </c>
      <c r="G32" s="27" t="str">
        <f>IF(COUNTIF(tblClusters[Cluster],D32)&gt;0,"OK","Introuvable")</f>
        <v>OK</v>
      </c>
      <c r="H32" s="27" t="str">
        <f>IF(E32="","",IF(COUNTIF(tblClusters[Cluster],E32)&gt;0,"OK","Introuvable"))</f>
        <v/>
      </c>
    </row>
    <row r="33" spans="1:8" x14ac:dyDescent="0.2">
      <c r="A33" s="16" t="s">
        <v>231</v>
      </c>
      <c r="B33" s="16" t="s">
        <v>224</v>
      </c>
      <c r="C33" s="16" t="s">
        <v>153</v>
      </c>
      <c r="D33" s="16" t="s">
        <v>194</v>
      </c>
      <c r="E33" s="16"/>
      <c r="F33" s="21" t="str">
        <f t="shared" si="0"/>
        <v>Mutualise Standard DMZR|N|PROD</v>
      </c>
      <c r="G33" s="27" t="str">
        <f>IF(COUNTIF(tblClusters[Cluster],D33)&gt;0,"OK","Introuvable")</f>
        <v>OK</v>
      </c>
      <c r="H33" s="27" t="str">
        <f>IF(E33="","",IF(COUNTIF(tblClusters[Cluster],E33)&gt;0,"OK","Introuvable"))</f>
        <v/>
      </c>
    </row>
    <row r="34" spans="1:8" x14ac:dyDescent="0.2">
      <c r="A34" s="16" t="s">
        <v>231</v>
      </c>
      <c r="B34" s="16" t="s">
        <v>225</v>
      </c>
      <c r="C34" s="16" t="s">
        <v>153</v>
      </c>
      <c r="D34" s="16" t="s">
        <v>194</v>
      </c>
      <c r="E34" s="16"/>
      <c r="F34" s="21" t="str">
        <f t="shared" si="0"/>
        <v>Mutualise Standard DMZR|O|PROD</v>
      </c>
      <c r="G34" s="27" t="str">
        <f>IF(COUNTIF(tblClusters[Cluster],D34)&gt;0,"OK","Introuvable")</f>
        <v>OK</v>
      </c>
      <c r="H34" s="27" t="str">
        <f>IF(E34="","",IF(COUNTIF(tblClusters[Cluster],E34)&gt;0,"OK","Introuvable"))</f>
        <v/>
      </c>
    </row>
    <row r="35" spans="1:8" x14ac:dyDescent="0.2">
      <c r="A35" s="16" t="s">
        <v>231</v>
      </c>
      <c r="B35" s="16" t="s">
        <v>224</v>
      </c>
      <c r="C35" s="16" t="s">
        <v>157</v>
      </c>
      <c r="D35" s="16" t="s">
        <v>196</v>
      </c>
      <c r="E35" s="16"/>
      <c r="F35" s="21" t="str">
        <f t="shared" si="0"/>
        <v>Mutualise Standard DMZR|N|HORSPROD</v>
      </c>
      <c r="G35" s="27" t="str">
        <f>IF(COUNTIF(tblClusters[Cluster],D35)&gt;0,"OK","Introuvable")</f>
        <v>OK</v>
      </c>
      <c r="H35" s="27" t="str">
        <f>IF(E35="","",IF(COUNTIF(tblClusters[Cluster],E35)&gt;0,"OK","Introuvable"))</f>
        <v/>
      </c>
    </row>
    <row r="36" spans="1:8" x14ac:dyDescent="0.2">
      <c r="A36" s="16" t="s">
        <v>231</v>
      </c>
      <c r="B36" s="16" t="s">
        <v>225</v>
      </c>
      <c r="C36" s="16" t="s">
        <v>157</v>
      </c>
      <c r="D36" s="16" t="s">
        <v>196</v>
      </c>
      <c r="E36" s="16"/>
      <c r="F36" s="21" t="str">
        <f t="shared" si="0"/>
        <v>Mutualise Standard DMZR|O|HORSPROD</v>
      </c>
      <c r="G36" s="27" t="str">
        <f>IF(COUNTIF(tblClusters[Cluster],D36)&gt;0,"OK","Introuvable")</f>
        <v>OK</v>
      </c>
      <c r="H36" s="27" t="str">
        <f>IF(E36="","",IF(COUNTIF(tblClusters[Cluster],E36)&gt;0,"OK","Introuvable"))</f>
        <v/>
      </c>
    </row>
    <row r="38" spans="1:8" x14ac:dyDescent="0.2">
      <c r="A38" s="48" t="s">
        <v>232</v>
      </c>
      <c r="B38" s="47"/>
      <c r="C38" s="47"/>
      <c r="D38" s="47"/>
      <c r="E38" s="47"/>
      <c r="F38" s="47"/>
      <c r="G38" s="47"/>
    </row>
    <row r="39" spans="1:8" x14ac:dyDescent="0.2">
      <c r="A39" s="47"/>
      <c r="B39" s="47"/>
      <c r="C39" s="47"/>
      <c r="D39" s="47"/>
      <c r="E39" s="47"/>
      <c r="F39" s="47"/>
      <c r="G39" s="47"/>
    </row>
  </sheetData>
  <mergeCells count="2">
    <mergeCell ref="A3:G3"/>
    <mergeCell ref="A38:G39"/>
  </mergeCells>
  <conditionalFormatting sqref="G5:H36">
    <cfRule type="expression" dxfId="5" priority="1">
      <formula>ISNUMBER(SEARCH("Introuvable",G5))</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19"/>
  <sheetViews>
    <sheetView showGridLines="0" workbookViewId="0">
      <pane ySplit="4" topLeftCell="A5" activePane="bottomLeft" state="frozen"/>
      <selection pane="bottomLeft"/>
    </sheetView>
  </sheetViews>
  <sheetFormatPr baseColWidth="10" defaultColWidth="8.83203125" defaultRowHeight="15" outlineLevelCol="1" x14ac:dyDescent="0.2"/>
  <cols>
    <col min="1" max="1" width="12" customWidth="1"/>
    <col min="2" max="3" width="14" customWidth="1"/>
    <col min="4" max="4" width="10" customWidth="1"/>
    <col min="5" max="13" width="14" customWidth="1"/>
    <col min="14" max="15" width="20" customWidth="1"/>
    <col min="16" max="21" width="14" customWidth="1"/>
    <col min="22" max="22" width="34" customWidth="1"/>
    <col min="23" max="24" width="14" hidden="1" customWidth="1" outlineLevel="1"/>
    <col min="25" max="25" width="26" hidden="1" customWidth="1" outlineLevel="1"/>
    <col min="26" max="27" width="14" hidden="1" customWidth="1" outlineLevel="1"/>
    <col min="28" max="29" width="20" hidden="1" customWidth="1" outlineLevel="1"/>
    <col min="30" max="41" width="14" hidden="1" customWidth="1" outlineLevel="1"/>
  </cols>
  <sheetData>
    <row r="1" spans="1:41" ht="18" x14ac:dyDescent="0.2">
      <c r="A1" s="1" t="s">
        <v>233</v>
      </c>
    </row>
    <row r="2" spans="1:41" x14ac:dyDescent="0.2">
      <c r="A2" s="2" t="s">
        <v>234</v>
      </c>
    </row>
    <row r="3" spans="1:41" ht="28" customHeight="1" x14ac:dyDescent="0.2">
      <c r="A3" s="48" t="s">
        <v>235</v>
      </c>
      <c r="B3" s="47"/>
      <c r="C3" s="47"/>
      <c r="D3" s="47"/>
      <c r="E3" s="47"/>
      <c r="F3" s="47"/>
      <c r="G3" s="47"/>
      <c r="H3" s="47"/>
      <c r="I3" s="47"/>
      <c r="J3" s="47"/>
      <c r="K3" s="47"/>
      <c r="L3" s="47"/>
      <c r="M3" s="47"/>
      <c r="N3" s="47"/>
      <c r="O3" s="47"/>
      <c r="P3" s="47"/>
      <c r="Q3" s="47"/>
      <c r="R3" s="47"/>
      <c r="S3" s="47"/>
      <c r="T3" s="47"/>
      <c r="U3" s="47"/>
      <c r="V3" s="47"/>
    </row>
    <row r="4" spans="1:41" ht="56" x14ac:dyDescent="0.2">
      <c r="A4" s="15" t="s">
        <v>63</v>
      </c>
      <c r="B4" s="15" t="s">
        <v>236</v>
      </c>
      <c r="C4" s="15" t="s">
        <v>237</v>
      </c>
      <c r="D4" s="15" t="s">
        <v>143</v>
      </c>
      <c r="E4" s="15" t="s">
        <v>238</v>
      </c>
      <c r="F4" s="15" t="s">
        <v>217</v>
      </c>
      <c r="G4" s="15" t="s">
        <v>239</v>
      </c>
      <c r="H4" s="15" t="s">
        <v>240</v>
      </c>
      <c r="I4" s="15" t="s">
        <v>241</v>
      </c>
      <c r="J4" s="15" t="s">
        <v>242</v>
      </c>
      <c r="K4" s="15" t="s">
        <v>243</v>
      </c>
      <c r="L4" s="15" t="s">
        <v>244</v>
      </c>
      <c r="M4" s="15" t="s">
        <v>245</v>
      </c>
      <c r="N4" s="15" t="s">
        <v>216</v>
      </c>
      <c r="O4" s="15" t="s">
        <v>246</v>
      </c>
      <c r="P4" s="15" t="s">
        <v>247</v>
      </c>
      <c r="Q4" s="15" t="s">
        <v>248</v>
      </c>
      <c r="R4" s="15" t="s">
        <v>249</v>
      </c>
      <c r="S4" s="15" t="s">
        <v>250</v>
      </c>
      <c r="T4" s="15" t="s">
        <v>251</v>
      </c>
      <c r="U4" s="15" t="s">
        <v>252</v>
      </c>
      <c r="V4" s="15" t="s">
        <v>253</v>
      </c>
      <c r="W4" s="34" t="s">
        <v>254</v>
      </c>
      <c r="X4" s="34" t="s">
        <v>255</v>
      </c>
      <c r="Y4" s="34" t="s">
        <v>256</v>
      </c>
      <c r="Z4" s="34" t="s">
        <v>257</v>
      </c>
      <c r="AA4" s="34" t="s">
        <v>258</v>
      </c>
      <c r="AB4" s="34" t="s">
        <v>259</v>
      </c>
      <c r="AC4" s="34" t="s">
        <v>260</v>
      </c>
      <c r="AD4" s="34" t="s">
        <v>261</v>
      </c>
      <c r="AE4" s="34" t="s">
        <v>262</v>
      </c>
      <c r="AF4" s="34" t="s">
        <v>263</v>
      </c>
      <c r="AG4" s="34" t="s">
        <v>264</v>
      </c>
      <c r="AH4" s="34" t="s">
        <v>265</v>
      </c>
      <c r="AI4" s="34" t="s">
        <v>266</v>
      </c>
      <c r="AJ4" s="34" t="s">
        <v>267</v>
      </c>
      <c r="AK4" s="34" t="s">
        <v>268</v>
      </c>
      <c r="AL4" s="34" t="s">
        <v>269</v>
      </c>
      <c r="AM4" s="34" t="s">
        <v>270</v>
      </c>
      <c r="AN4" s="34" t="s">
        <v>271</v>
      </c>
      <c r="AO4" s="34" t="s">
        <v>272</v>
      </c>
    </row>
    <row r="5" spans="1:41" x14ac:dyDescent="0.2">
      <c r="A5" s="16" t="s">
        <v>66</v>
      </c>
      <c r="B5" s="16" t="s">
        <v>273</v>
      </c>
      <c r="C5" s="16" t="s">
        <v>274</v>
      </c>
      <c r="D5" s="16" t="s">
        <v>275</v>
      </c>
      <c r="E5" s="16" t="s">
        <v>276</v>
      </c>
      <c r="F5" s="16" t="s">
        <v>224</v>
      </c>
      <c r="G5" s="16" t="s">
        <v>224</v>
      </c>
      <c r="H5" s="16" t="s">
        <v>224</v>
      </c>
      <c r="I5" s="16" t="s">
        <v>224</v>
      </c>
      <c r="J5" s="17">
        <v>2</v>
      </c>
      <c r="K5" s="35">
        <v>46402</v>
      </c>
      <c r="L5" s="17">
        <v>1</v>
      </c>
      <c r="M5" s="36" t="s">
        <v>225</v>
      </c>
      <c r="N5" s="16" t="s">
        <v>223</v>
      </c>
      <c r="O5" s="21" t="str">
        <f t="shared" ref="O5:O14" ca="1" si="0">IF(AB5="","Cluster a definir",IF(AI5="OUI",AB5,IF(AO5="OUI",AC5,AB5)))</f>
        <v>oc002i000577</v>
      </c>
      <c r="P5" s="22" t="str">
        <f t="shared" ref="P5:P14" si="1">IF(OR(F5="O",G5="O",H5="O",I5="O"),"Dedie","Mutualise")</f>
        <v>Mutualise</v>
      </c>
      <c r="Q5" s="24">
        <f>IFERROR(INDEX(tblDynatrace[CPU reel p95 (cores)],MATCH(A5,tblDynatrace[Application],0)),"")</f>
        <v>4</v>
      </c>
      <c r="R5" s="24">
        <f>IFERROR(INDEX(tblDynatrace[RAM reelle p95 (Go)],MATCH(A5,tblDynatrace[Application],0)),"")</f>
        <v>16</v>
      </c>
      <c r="S5" s="24">
        <f>IF(Q5="","",ROUNDUP(Q5*Tarifs_ABS!$C$9,0)*J5)</f>
        <v>10</v>
      </c>
      <c r="T5" s="24">
        <f>IF(R5="","",ROUNDUP(R5*Tarifs_ABS!$C$9,0)*J5)</f>
        <v>40</v>
      </c>
      <c r="U5" s="37">
        <f t="shared" ref="U5:U14" si="2">EDATE(K5,L5)</f>
        <v>46433</v>
      </c>
      <c r="V5" s="21" t="str">
        <f t="shared" ref="V5:V14" ca="1" si="3">IF(AB5="","Cluster a definir : aucune regle ne correspond",IF(AA5="Incoherent","Attention, type de cluster incoherent",IF(AI5="OUI","OK",IF(AO5="OUI","Bascule sur le cluster de repli ("&amp;AC5&amp;")",IF(AC5&lt;&gt;"","Principal et repli tous deux pleins, cluster supplementaire a prevoir","Cluster principal plein, aucun repli defini, cluster supplementaire a prevoir")))))</f>
        <v>OK</v>
      </c>
      <c r="W5" s="22" t="str">
        <f t="shared" ref="W5:W14" si="4">IF(E5="PRD","PROD","HORSPROD")</f>
        <v>PROD</v>
      </c>
      <c r="X5" s="21" t="str">
        <f t="shared" ref="X5:X14" si="5">IF(H5="O","JUMP CLV",IF(I5="O","JUMP AEP",N5))</f>
        <v>GIE France</v>
      </c>
      <c r="Y5" s="21" t="str">
        <f t="shared" ref="Y5:Y14" si="6">X5&amp;"|"&amp;F5&amp;"|"&amp;W5</f>
        <v>GIE France|N|PROD</v>
      </c>
      <c r="Z5" s="27" t="str">
        <f ca="1">IFERROR(INDEX(tblClusters[Type (deduit)],MATCH(O5,tblClusters[Cluster],0)),"")</f>
        <v>Mutualise</v>
      </c>
      <c r="AA5" s="22" t="str">
        <f t="shared" ref="AA5:AA14" ca="1" si="7">IF(Z5="","",IF(P5=Z5,"OK","Incoherent"))</f>
        <v>OK</v>
      </c>
      <c r="AB5" s="28" t="str">
        <f>IFERROR(INDEX(tblRegles[Cluster ROKS cible principal],MATCH(Y5,tblRegles[Cle de selection],0)),"")</f>
        <v>oc002i000577</v>
      </c>
      <c r="AC5" s="28" t="str">
        <f>IFERROR(IF(INDEX(tblRegles[Cluster de repli optionnel],MATCH(Y5,tblRegles[Cle de selection],0))=0,"",INDEX(tblRegles[Cluster de repli optionnel],MATCH(Y5,tblRegles[Cle de selection],0))),"")</f>
        <v/>
      </c>
      <c r="AD5" s="25">
        <f ca="1">SUMIFS(tblApplications[CPU cible ROKS],tblApplications[Cluster ROKS cible (auto)],AB5,tblApplications[Mois de bascule prevu],"&lt;"&amp;K5)</f>
        <v>0</v>
      </c>
      <c r="AE5" s="25">
        <f ca="1">SUMIFS(tblApplications[RAM cible ROKS],tblApplications[Cluster ROKS cible (auto)],AB5,tblApplications[Mois de bascule prevu],"&lt;"&amp;K5)</f>
        <v>0</v>
      </c>
      <c r="AF5" s="24">
        <f>IFERROR(INDEX(tblClusters[CPU max (cores)],MATCH(AB5,tblClusters[Cluster],0)),0)</f>
        <v>48</v>
      </c>
      <c r="AG5" s="24">
        <f>IFERROR(INDEX(tblClusters[RAM max (Go)],MATCH(AB5,tblClusters[Cluster],0)),0)</f>
        <v>240</v>
      </c>
      <c r="AH5" s="24">
        <f>IFERROR(INDEX(tblClusters[Worker Count],MATCH(AB5,tblClusters[Cluster],0)),0)</f>
        <v>6</v>
      </c>
      <c r="AI5" s="27" t="str">
        <f ca="1">IF(AB5="","NON",IF(AF5=0,"NON",IF(OR((AD5+S5)/AF5&gt;=Clusters_ROKS!$AC$5,(AE5+T5)/AG5&gt;=Clusters_ROKS!$AC$5,AH5&gt;=Clusters_ROKS!$AC$6),"NON","OUI")))</f>
        <v>OUI</v>
      </c>
      <c r="AJ5" s="25">
        <f>IF(AC5="",0,SUMIFS(tblApplications[CPU cible ROKS],tblApplications[Cluster ROKS cible (auto)],AC5,tblApplications[Mois de bascule prevu],"&lt;"&amp;K5))</f>
        <v>0</v>
      </c>
      <c r="AK5" s="25">
        <f>IF(AC5="",0,SUMIFS(tblApplications[RAM cible ROKS],tblApplications[Cluster ROKS cible (auto)],AC5,tblApplications[Mois de bascule prevu],"&lt;"&amp;K5))</f>
        <v>0</v>
      </c>
      <c r="AL5" s="24">
        <f>IF(AC5="",0,IFERROR(INDEX(tblClusters[CPU max (cores)],MATCH(AC5,tblClusters[Cluster],0)),0))</f>
        <v>0</v>
      </c>
      <c r="AM5" s="24">
        <f>IF(AC5="",0,IFERROR(INDEX(tblClusters[RAM max (Go)],MATCH(AC5,tblClusters[Cluster],0)),0))</f>
        <v>0</v>
      </c>
      <c r="AN5" s="24">
        <f>IF(AC5="",0,IFERROR(INDEX(tblClusters[Worker Count],MATCH(AC5,tblClusters[Cluster],0)),0))</f>
        <v>0</v>
      </c>
      <c r="AO5" s="27" t="str">
        <f>IF(AC5="","NON",IF(AL5=0,"NON",IF(OR((AJ5+S5)/AL5&gt;=Clusters_ROKS!$AC$5,(AK5+T5)/AM5&gt;=Clusters_ROKS!$AC$5,AN5&gt;=Clusters_ROKS!$AC$6),"NON","OUI")))</f>
        <v>NON</v>
      </c>
    </row>
    <row r="6" spans="1:41" x14ac:dyDescent="0.2">
      <c r="A6" s="16" t="s">
        <v>67</v>
      </c>
      <c r="B6" s="16" t="s">
        <v>277</v>
      </c>
      <c r="C6" s="16" t="s">
        <v>274</v>
      </c>
      <c r="D6" s="16" t="s">
        <v>275</v>
      </c>
      <c r="E6" s="16" t="s">
        <v>276</v>
      </c>
      <c r="F6" s="16" t="s">
        <v>224</v>
      </c>
      <c r="G6" s="16" t="s">
        <v>224</v>
      </c>
      <c r="H6" s="16" t="s">
        <v>224</v>
      </c>
      <c r="I6" s="16" t="s">
        <v>224</v>
      </c>
      <c r="J6" s="17">
        <v>2</v>
      </c>
      <c r="K6" s="35">
        <v>46433</v>
      </c>
      <c r="L6" s="17">
        <v>1</v>
      </c>
      <c r="M6" s="36" t="s">
        <v>225</v>
      </c>
      <c r="N6" s="16" t="s">
        <v>223</v>
      </c>
      <c r="O6" s="21" t="str">
        <f t="shared" ca="1" si="0"/>
        <v>oc002i000577</v>
      </c>
      <c r="P6" s="22" t="str">
        <f t="shared" si="1"/>
        <v>Mutualise</v>
      </c>
      <c r="Q6" s="24">
        <f>IFERROR(INDEX(tblDynatrace[CPU reel p95 (cores)],MATCH(A6,tblDynatrace[Application],0)),"")</f>
        <v>2</v>
      </c>
      <c r="R6" s="24">
        <f>IFERROR(INDEX(tblDynatrace[RAM reelle p95 (Go)],MATCH(A6,tblDynatrace[Application],0)),"")</f>
        <v>8</v>
      </c>
      <c r="S6" s="24">
        <f>IF(Q6="","",ROUNDUP(Q6*Tarifs_ABS!$C$9,0)*J6)</f>
        <v>6</v>
      </c>
      <c r="T6" s="24">
        <f>IF(R6="","",ROUNDUP(R6*Tarifs_ABS!$C$9,0)*J6)</f>
        <v>20</v>
      </c>
      <c r="U6" s="37">
        <f t="shared" si="2"/>
        <v>46461</v>
      </c>
      <c r="V6" s="21" t="str">
        <f t="shared" ca="1" si="3"/>
        <v>OK</v>
      </c>
      <c r="W6" s="22" t="str">
        <f t="shared" si="4"/>
        <v>PROD</v>
      </c>
      <c r="X6" s="21" t="str">
        <f t="shared" si="5"/>
        <v>GIE France</v>
      </c>
      <c r="Y6" s="21" t="str">
        <f t="shared" si="6"/>
        <v>GIE France|N|PROD</v>
      </c>
      <c r="Z6" s="27" t="str">
        <f ca="1">IFERROR(INDEX(tblClusters[Type (deduit)],MATCH(O6,tblClusters[Cluster],0)),"")</f>
        <v>Mutualise</v>
      </c>
      <c r="AA6" s="22" t="str">
        <f t="shared" ca="1" si="7"/>
        <v>OK</v>
      </c>
      <c r="AB6" s="28" t="str">
        <f>IFERROR(INDEX(tblRegles[Cluster ROKS cible principal],MATCH(Y6,tblRegles[Cle de selection],0)),"")</f>
        <v>oc002i000577</v>
      </c>
      <c r="AC6" s="28" t="str">
        <f>IFERROR(IF(INDEX(tblRegles[Cluster de repli optionnel],MATCH(Y6,tblRegles[Cle de selection],0))=0,"",INDEX(tblRegles[Cluster de repli optionnel],MATCH(Y6,tblRegles[Cle de selection],0))),"")</f>
        <v/>
      </c>
      <c r="AD6" s="25">
        <f ca="1">SUMIFS(tblApplications[CPU cible ROKS],tblApplications[Cluster ROKS cible (auto)],AB6,tblApplications[Mois de bascule prevu],"&lt;"&amp;K6)</f>
        <v>10</v>
      </c>
      <c r="AE6" s="25">
        <f ca="1">SUMIFS(tblApplications[RAM cible ROKS],tblApplications[Cluster ROKS cible (auto)],AB6,tblApplications[Mois de bascule prevu],"&lt;"&amp;K6)</f>
        <v>40</v>
      </c>
      <c r="AF6" s="24">
        <f>IFERROR(INDEX(tblClusters[CPU max (cores)],MATCH(AB6,tblClusters[Cluster],0)),0)</f>
        <v>48</v>
      </c>
      <c r="AG6" s="24">
        <f>IFERROR(INDEX(tblClusters[RAM max (Go)],MATCH(AB6,tblClusters[Cluster],0)),0)</f>
        <v>240</v>
      </c>
      <c r="AH6" s="24">
        <f>IFERROR(INDEX(tblClusters[Worker Count],MATCH(AB6,tblClusters[Cluster],0)),0)</f>
        <v>6</v>
      </c>
      <c r="AI6" s="27" t="str">
        <f ca="1">IF(AB6="","NON",IF(AF6=0,"NON",IF(OR((AD6+S6)/AF6&gt;=Clusters_ROKS!$AC$5,(AE6+T6)/AG6&gt;=Clusters_ROKS!$AC$5,AH6&gt;=Clusters_ROKS!$AC$6),"NON","OUI")))</f>
        <v>OUI</v>
      </c>
      <c r="AJ6" s="25">
        <f>IF(AC6="",0,SUMIFS(tblApplications[CPU cible ROKS],tblApplications[Cluster ROKS cible (auto)],AC6,tblApplications[Mois de bascule prevu],"&lt;"&amp;K6))</f>
        <v>0</v>
      </c>
      <c r="AK6" s="25">
        <f>IF(AC6="",0,SUMIFS(tblApplications[RAM cible ROKS],tblApplications[Cluster ROKS cible (auto)],AC6,tblApplications[Mois de bascule prevu],"&lt;"&amp;K6))</f>
        <v>0</v>
      </c>
      <c r="AL6" s="24">
        <f>IF(AC6="",0,IFERROR(INDEX(tblClusters[CPU max (cores)],MATCH(AC6,tblClusters[Cluster],0)),0))</f>
        <v>0</v>
      </c>
      <c r="AM6" s="24">
        <f>IF(AC6="",0,IFERROR(INDEX(tblClusters[RAM max (Go)],MATCH(AC6,tblClusters[Cluster],0)),0))</f>
        <v>0</v>
      </c>
      <c r="AN6" s="24">
        <f>IF(AC6="",0,IFERROR(INDEX(tblClusters[Worker Count],MATCH(AC6,tblClusters[Cluster],0)),0))</f>
        <v>0</v>
      </c>
      <c r="AO6" s="27" t="str">
        <f>IF(AC6="","NON",IF(AL6=0,"NON",IF(OR((AJ6+S6)/AL6&gt;=Clusters_ROKS!$AC$5,(AK6+T6)/AM6&gt;=Clusters_ROKS!$AC$5,AN6&gt;=Clusters_ROKS!$AC$6),"NON","OUI")))</f>
        <v>NON</v>
      </c>
    </row>
    <row r="7" spans="1:41" x14ac:dyDescent="0.2">
      <c r="A7" s="16" t="s">
        <v>68</v>
      </c>
      <c r="B7" s="16" t="s">
        <v>278</v>
      </c>
      <c r="C7" s="16" t="s">
        <v>279</v>
      </c>
      <c r="D7" s="16" t="s">
        <v>275</v>
      </c>
      <c r="E7" s="16" t="s">
        <v>276</v>
      </c>
      <c r="F7" s="16" t="s">
        <v>224</v>
      </c>
      <c r="G7" s="16" t="s">
        <v>225</v>
      </c>
      <c r="H7" s="16" t="s">
        <v>224</v>
      </c>
      <c r="I7" s="16" t="s">
        <v>224</v>
      </c>
      <c r="J7" s="17">
        <v>2</v>
      </c>
      <c r="K7" s="35">
        <v>46461</v>
      </c>
      <c r="L7" s="17">
        <v>1</v>
      </c>
      <c r="M7" s="36" t="s">
        <v>225</v>
      </c>
      <c r="N7" s="16" t="s">
        <v>228</v>
      </c>
      <c r="O7" s="21" t="str">
        <f t="shared" si="0"/>
        <v>oc-LATAM-NOS-PRD</v>
      </c>
      <c r="P7" s="22" t="str">
        <f t="shared" si="1"/>
        <v>Dedie</v>
      </c>
      <c r="Q7" s="24">
        <f>IFERROR(INDEX(tblDynatrace[CPU reel p95 (cores)],MATCH(A7,tblDynatrace[Application],0)),"")</f>
        <v>8</v>
      </c>
      <c r="R7" s="24">
        <f>IFERROR(INDEX(tblDynatrace[RAM reelle p95 (Go)],MATCH(A7,tblDynatrace[Application],0)),"")</f>
        <v>32</v>
      </c>
      <c r="S7" s="24">
        <f>IF(Q7="","",ROUNDUP(Q7*Tarifs_ABS!$C$9,0)*J7)</f>
        <v>20</v>
      </c>
      <c r="T7" s="24">
        <f>IF(R7="","",ROUNDUP(R7*Tarifs_ABS!$C$9,0)*J7)</f>
        <v>78</v>
      </c>
      <c r="U7" s="37">
        <f t="shared" si="2"/>
        <v>46492</v>
      </c>
      <c r="V7" s="21" t="str">
        <f t="shared" si="3"/>
        <v>Cluster principal plein, aucun repli defini, cluster supplementaire a prevoir</v>
      </c>
      <c r="W7" s="22" t="str">
        <f t="shared" si="4"/>
        <v>PROD</v>
      </c>
      <c r="X7" s="21" t="str">
        <f t="shared" si="5"/>
        <v>LATAM</v>
      </c>
      <c r="Y7" s="21" t="str">
        <f t="shared" si="6"/>
        <v>LATAM|N|PROD</v>
      </c>
      <c r="Z7" s="27" t="str">
        <f>IFERROR(INDEX(tblClusters[Type (deduit)],MATCH(O7,tblClusters[Cluster],0)),"")</f>
        <v>Dedie</v>
      </c>
      <c r="AA7" s="22" t="str">
        <f t="shared" si="7"/>
        <v>OK</v>
      </c>
      <c r="AB7" s="28" t="str">
        <f>IFERROR(INDEX(tblRegles[Cluster ROKS cible principal],MATCH(Y7,tblRegles[Cle de selection],0)),"")</f>
        <v>oc-LATAM-NOS-PRD</v>
      </c>
      <c r="AC7" s="28" t="str">
        <f>IFERROR(IF(INDEX(tblRegles[Cluster de repli optionnel],MATCH(Y7,tblRegles[Cle de selection],0))=0,"",INDEX(tblRegles[Cluster de repli optionnel],MATCH(Y7,tblRegles[Cle de selection],0))),"")</f>
        <v/>
      </c>
      <c r="AD7" s="25">
        <f ca="1">SUMIFS(tblApplications[CPU cible ROKS],tblApplications[Cluster ROKS cible (auto)],AB7,tblApplications[Mois de bascule prevu],"&lt;"&amp;K7)</f>
        <v>0</v>
      </c>
      <c r="AE7" s="25">
        <f ca="1">SUMIFS(tblApplications[RAM cible ROKS],tblApplications[Cluster ROKS cible (auto)],AB7,tblApplications[Mois de bascule prevu],"&lt;"&amp;K7)</f>
        <v>0</v>
      </c>
      <c r="AF7" s="24">
        <f>IFERROR(INDEX(tblClusters[CPU max (cores)],MATCH(AB7,tblClusters[Cluster],0)),0)</f>
        <v>0</v>
      </c>
      <c r="AG7" s="24">
        <f>IFERROR(INDEX(tblClusters[RAM max (Go)],MATCH(AB7,tblClusters[Cluster],0)),0)</f>
        <v>0</v>
      </c>
      <c r="AH7" s="24">
        <f>IFERROR(INDEX(tblClusters[Worker Count],MATCH(AB7,tblClusters[Cluster],0)),0)</f>
        <v>0</v>
      </c>
      <c r="AI7" s="27" t="str">
        <f>IF(AB7="","NON",IF(AF7=0,"NON",IF(OR((AD7+S7)/AF7&gt;=Clusters_ROKS!$AC$5,(AE7+T7)/AG7&gt;=Clusters_ROKS!$AC$5,AH7&gt;=Clusters_ROKS!$AC$6),"NON","OUI")))</f>
        <v>NON</v>
      </c>
      <c r="AJ7" s="25">
        <f>IF(AC7="",0,SUMIFS(tblApplications[CPU cible ROKS],tblApplications[Cluster ROKS cible (auto)],AC7,tblApplications[Mois de bascule prevu],"&lt;"&amp;K7))</f>
        <v>0</v>
      </c>
      <c r="AK7" s="25">
        <f>IF(AC7="",0,SUMIFS(tblApplications[RAM cible ROKS],tblApplications[Cluster ROKS cible (auto)],AC7,tblApplications[Mois de bascule prevu],"&lt;"&amp;K7))</f>
        <v>0</v>
      </c>
      <c r="AL7" s="24">
        <f>IF(AC7="",0,IFERROR(INDEX(tblClusters[CPU max (cores)],MATCH(AC7,tblClusters[Cluster],0)),0))</f>
        <v>0</v>
      </c>
      <c r="AM7" s="24">
        <f>IF(AC7="",0,IFERROR(INDEX(tblClusters[RAM max (Go)],MATCH(AC7,tblClusters[Cluster],0)),0))</f>
        <v>0</v>
      </c>
      <c r="AN7" s="24">
        <f>IF(AC7="",0,IFERROR(INDEX(tblClusters[Worker Count],MATCH(AC7,tblClusters[Cluster],0)),0))</f>
        <v>0</v>
      </c>
      <c r="AO7" s="27" t="str">
        <f>IF(AC7="","NON",IF(AL7=0,"NON",IF(OR((AJ7+S7)/AL7&gt;=Clusters_ROKS!$AC$5,(AK7+T7)/AM7&gt;=Clusters_ROKS!$AC$5,AN7&gt;=Clusters_ROKS!$AC$6),"NON","OUI")))</f>
        <v>NON</v>
      </c>
    </row>
    <row r="8" spans="1:41" x14ac:dyDescent="0.2">
      <c r="A8" s="16" t="s">
        <v>69</v>
      </c>
      <c r="B8" s="16" t="s">
        <v>280</v>
      </c>
      <c r="C8" s="16" t="s">
        <v>281</v>
      </c>
      <c r="D8" s="16" t="s">
        <v>275</v>
      </c>
      <c r="E8" s="16" t="s">
        <v>282</v>
      </c>
      <c r="F8" s="16" t="s">
        <v>224</v>
      </c>
      <c r="G8" s="16" t="s">
        <v>224</v>
      </c>
      <c r="H8" s="16" t="s">
        <v>224</v>
      </c>
      <c r="I8" s="16" t="s">
        <v>224</v>
      </c>
      <c r="J8" s="17">
        <v>1</v>
      </c>
      <c r="K8" s="35">
        <v>46402</v>
      </c>
      <c r="L8" s="17">
        <v>1</v>
      </c>
      <c r="M8" s="36" t="s">
        <v>225</v>
      </c>
      <c r="N8" s="16" t="s">
        <v>223</v>
      </c>
      <c r="O8" s="21" t="str">
        <f t="shared" ca="1" si="0"/>
        <v>oc002i000578</v>
      </c>
      <c r="P8" s="22" t="str">
        <f t="shared" si="1"/>
        <v>Mutualise</v>
      </c>
      <c r="Q8" s="24">
        <f>IFERROR(INDEX(tblDynatrace[CPU reel p95 (cores)],MATCH(A8,tblDynatrace[Application],0)),"")</f>
        <v>1</v>
      </c>
      <c r="R8" s="24">
        <f>IFERROR(INDEX(tblDynatrace[RAM reelle p95 (Go)],MATCH(A8,tblDynatrace[Application],0)),"")</f>
        <v>4</v>
      </c>
      <c r="S8" s="24">
        <f>IF(Q8="","",ROUNDUP(Q8*Tarifs_ABS!$C$9,0)*J8)</f>
        <v>2</v>
      </c>
      <c r="T8" s="24">
        <f>IF(R8="","",ROUNDUP(R8*Tarifs_ABS!$C$9,0)*J8)</f>
        <v>5</v>
      </c>
      <c r="U8" s="37">
        <f t="shared" si="2"/>
        <v>46433</v>
      </c>
      <c r="V8" s="21" t="str">
        <f t="shared" ca="1" si="3"/>
        <v>OK</v>
      </c>
      <c r="W8" s="22" t="str">
        <f t="shared" si="4"/>
        <v>HORSPROD</v>
      </c>
      <c r="X8" s="21" t="str">
        <f t="shared" si="5"/>
        <v>GIE France</v>
      </c>
      <c r="Y8" s="21" t="str">
        <f t="shared" si="6"/>
        <v>GIE France|N|HORSPROD</v>
      </c>
      <c r="Z8" s="27" t="str">
        <f ca="1">IFERROR(INDEX(tblClusters[Type (deduit)],MATCH(O8,tblClusters[Cluster],0)),"")</f>
        <v>Mutualise</v>
      </c>
      <c r="AA8" s="22" t="str">
        <f t="shared" ca="1" si="7"/>
        <v>OK</v>
      </c>
      <c r="AB8" s="28" t="str">
        <f>IFERROR(INDEX(tblRegles[Cluster ROKS cible principal],MATCH(Y8,tblRegles[Cle de selection],0)),"")</f>
        <v>oc002i000578</v>
      </c>
      <c r="AC8" s="28" t="str">
        <f>IFERROR(IF(INDEX(tblRegles[Cluster de repli optionnel],MATCH(Y8,tblRegles[Cle de selection],0))=0,"",INDEX(tblRegles[Cluster de repli optionnel],MATCH(Y8,tblRegles[Cle de selection],0))),"")</f>
        <v/>
      </c>
      <c r="AD8" s="25">
        <f ca="1">SUMIFS(tblApplications[CPU cible ROKS],tblApplications[Cluster ROKS cible (auto)],AB8,tblApplications[Mois de bascule prevu],"&lt;"&amp;K8)</f>
        <v>0</v>
      </c>
      <c r="AE8" s="25">
        <f ca="1">SUMIFS(tblApplications[RAM cible ROKS],tblApplications[Cluster ROKS cible (auto)],AB8,tblApplications[Mois de bascule prevu],"&lt;"&amp;K8)</f>
        <v>0</v>
      </c>
      <c r="AF8" s="24">
        <f>IFERROR(INDEX(tblClusters[CPU max (cores)],MATCH(AB8,tblClusters[Cluster],0)),0)</f>
        <v>192</v>
      </c>
      <c r="AG8" s="24">
        <f>IFERROR(INDEX(tblClusters[RAM max (Go)],MATCH(AB8,tblClusters[Cluster],0)),0)</f>
        <v>480</v>
      </c>
      <c r="AH8" s="24">
        <f>IFERROR(INDEX(tblClusters[Worker Count],MATCH(AB8,tblClusters[Cluster],0)),0)</f>
        <v>6</v>
      </c>
      <c r="AI8" s="27" t="str">
        <f ca="1">IF(AB8="","NON",IF(AF8=0,"NON",IF(OR((AD8+S8)/AF8&gt;=Clusters_ROKS!$AC$5,(AE8+T8)/AG8&gt;=Clusters_ROKS!$AC$5,AH8&gt;=Clusters_ROKS!$AC$6),"NON","OUI")))</f>
        <v>OUI</v>
      </c>
      <c r="AJ8" s="25">
        <f>IF(AC8="",0,SUMIFS(tblApplications[CPU cible ROKS],tblApplications[Cluster ROKS cible (auto)],AC8,tblApplications[Mois de bascule prevu],"&lt;"&amp;K8))</f>
        <v>0</v>
      </c>
      <c r="AK8" s="25">
        <f>IF(AC8="",0,SUMIFS(tblApplications[RAM cible ROKS],tblApplications[Cluster ROKS cible (auto)],AC8,tblApplications[Mois de bascule prevu],"&lt;"&amp;K8))</f>
        <v>0</v>
      </c>
      <c r="AL8" s="24">
        <f>IF(AC8="",0,IFERROR(INDEX(tblClusters[CPU max (cores)],MATCH(AC8,tblClusters[Cluster],0)),0))</f>
        <v>0</v>
      </c>
      <c r="AM8" s="24">
        <f>IF(AC8="",0,IFERROR(INDEX(tblClusters[RAM max (Go)],MATCH(AC8,tblClusters[Cluster],0)),0))</f>
        <v>0</v>
      </c>
      <c r="AN8" s="24">
        <f>IF(AC8="",0,IFERROR(INDEX(tblClusters[Worker Count],MATCH(AC8,tblClusters[Cluster],0)),0))</f>
        <v>0</v>
      </c>
      <c r="AO8" s="27" t="str">
        <f>IF(AC8="","NON",IF(AL8=0,"NON",IF(OR((AJ8+S8)/AL8&gt;=Clusters_ROKS!$AC$5,(AK8+T8)/AM8&gt;=Clusters_ROKS!$AC$5,AN8&gt;=Clusters_ROKS!$AC$6),"NON","OUI")))</f>
        <v>NON</v>
      </c>
    </row>
    <row r="9" spans="1:41" x14ac:dyDescent="0.2">
      <c r="A9" s="16" t="s">
        <v>70</v>
      </c>
      <c r="B9" s="16" t="s">
        <v>283</v>
      </c>
      <c r="C9" s="16" t="s">
        <v>279</v>
      </c>
      <c r="D9" s="16" t="s">
        <v>275</v>
      </c>
      <c r="E9" s="16" t="s">
        <v>276</v>
      </c>
      <c r="F9" s="16" t="s">
        <v>225</v>
      </c>
      <c r="G9" s="16" t="s">
        <v>224</v>
      </c>
      <c r="H9" s="16" t="s">
        <v>224</v>
      </c>
      <c r="I9" s="16" t="s">
        <v>224</v>
      </c>
      <c r="J9" s="17">
        <v>3</v>
      </c>
      <c r="K9" s="35">
        <v>46492</v>
      </c>
      <c r="L9" s="17">
        <v>1</v>
      </c>
      <c r="M9" s="36" t="s">
        <v>225</v>
      </c>
      <c r="N9" s="16" t="s">
        <v>229</v>
      </c>
      <c r="O9" s="21" t="str">
        <f t="shared" ca="1" si="0"/>
        <v>oc-EMEA-SEC-PRD</v>
      </c>
      <c r="P9" s="22" t="str">
        <f t="shared" si="1"/>
        <v>Dedie</v>
      </c>
      <c r="Q9" s="24">
        <f>IFERROR(INDEX(tblDynatrace[CPU reel p95 (cores)],MATCH(A9,tblDynatrace[Application],0)),"")</f>
        <v>6</v>
      </c>
      <c r="R9" s="24">
        <f>IFERROR(INDEX(tblDynatrace[RAM reelle p95 (Go)],MATCH(A9,tblDynatrace[Application],0)),"")</f>
        <v>24</v>
      </c>
      <c r="S9" s="24">
        <f>IF(Q9="","",ROUNDUP(Q9*Tarifs_ABS!$C$9,0)*J9)</f>
        <v>24</v>
      </c>
      <c r="T9" s="24">
        <f>IF(R9="","",ROUNDUP(R9*Tarifs_ABS!$C$9,0)*J9)</f>
        <v>87</v>
      </c>
      <c r="U9" s="37">
        <f t="shared" si="2"/>
        <v>46522</v>
      </c>
      <c r="V9" s="21" t="str">
        <f t="shared" ca="1" si="3"/>
        <v>OK</v>
      </c>
      <c r="W9" s="22" t="str">
        <f t="shared" si="4"/>
        <v>PROD</v>
      </c>
      <c r="X9" s="21" t="str">
        <f t="shared" si="5"/>
        <v>EMEA</v>
      </c>
      <c r="Y9" s="21" t="str">
        <f t="shared" si="6"/>
        <v>EMEA|O|PROD</v>
      </c>
      <c r="Z9" s="27" t="str">
        <f ca="1">IFERROR(INDEX(tblClusters[Type (deduit)],MATCH(O9,tblClusters[Cluster],0)),"")</f>
        <v>Dedie</v>
      </c>
      <c r="AA9" s="22" t="str">
        <f t="shared" ca="1" si="7"/>
        <v>OK</v>
      </c>
      <c r="AB9" s="28" t="str">
        <f>IFERROR(INDEX(tblRegles[Cluster ROKS cible principal],MATCH(Y9,tblRegles[Cle de selection],0)),"")</f>
        <v>oc-EMEA-SEC-PRD</v>
      </c>
      <c r="AC9" s="28" t="str">
        <f>IFERROR(IF(INDEX(tblRegles[Cluster de repli optionnel],MATCH(Y9,tblRegles[Cle de selection],0))=0,"",INDEX(tblRegles[Cluster de repli optionnel],MATCH(Y9,tblRegles[Cle de selection],0))),"")</f>
        <v/>
      </c>
      <c r="AD9" s="25">
        <f ca="1">SUMIFS(tblApplications[CPU cible ROKS],tblApplications[Cluster ROKS cible (auto)],AB9,tblApplications[Mois de bascule prevu],"&lt;"&amp;K9)</f>
        <v>0</v>
      </c>
      <c r="AE9" s="25">
        <f ca="1">SUMIFS(tblApplications[RAM cible ROKS],tblApplications[Cluster ROKS cible (auto)],AB9,tblApplications[Mois de bascule prevu],"&lt;"&amp;K9)</f>
        <v>0</v>
      </c>
      <c r="AF9" s="24">
        <f>IFERROR(INDEX(tblClusters[CPU max (cores)],MATCH(AB9,tblClusters[Cluster],0)),0)</f>
        <v>48</v>
      </c>
      <c r="AG9" s="24">
        <f>IFERROR(INDEX(tblClusters[RAM max (Go)],MATCH(AB9,tblClusters[Cluster],0)),0)</f>
        <v>240</v>
      </c>
      <c r="AH9" s="24">
        <f>IFERROR(INDEX(tblClusters[Worker Count],MATCH(AB9,tblClusters[Cluster],0)),0)</f>
        <v>6</v>
      </c>
      <c r="AI9" s="27" t="str">
        <f ca="1">IF(AB9="","NON",IF(AF9=0,"NON",IF(OR((AD9+S9)/AF9&gt;=Clusters_ROKS!$AC$5,(AE9+T9)/AG9&gt;=Clusters_ROKS!$AC$5,AH9&gt;=Clusters_ROKS!$AC$6),"NON","OUI")))</f>
        <v>OUI</v>
      </c>
      <c r="AJ9" s="25">
        <f>IF(AC9="",0,SUMIFS(tblApplications[CPU cible ROKS],tblApplications[Cluster ROKS cible (auto)],AC9,tblApplications[Mois de bascule prevu],"&lt;"&amp;K9))</f>
        <v>0</v>
      </c>
      <c r="AK9" s="25">
        <f>IF(AC9="",0,SUMIFS(tblApplications[RAM cible ROKS],tblApplications[Cluster ROKS cible (auto)],AC9,tblApplications[Mois de bascule prevu],"&lt;"&amp;K9))</f>
        <v>0</v>
      </c>
      <c r="AL9" s="24">
        <f>IF(AC9="",0,IFERROR(INDEX(tblClusters[CPU max (cores)],MATCH(AC9,tblClusters[Cluster],0)),0))</f>
        <v>0</v>
      </c>
      <c r="AM9" s="24">
        <f>IF(AC9="",0,IFERROR(INDEX(tblClusters[RAM max (Go)],MATCH(AC9,tblClusters[Cluster],0)),0))</f>
        <v>0</v>
      </c>
      <c r="AN9" s="24">
        <f>IF(AC9="",0,IFERROR(INDEX(tblClusters[Worker Count],MATCH(AC9,tblClusters[Cluster],0)),0))</f>
        <v>0</v>
      </c>
      <c r="AO9" s="27" t="str">
        <f>IF(AC9="","NON",IF(AL9=0,"NON",IF(OR((AJ9+S9)/AL9&gt;=Clusters_ROKS!$AC$5,(AK9+T9)/AM9&gt;=Clusters_ROKS!$AC$5,AN9&gt;=Clusters_ROKS!$AC$6),"NON","OUI")))</f>
        <v>NON</v>
      </c>
    </row>
    <row r="10" spans="1:41" x14ac:dyDescent="0.2">
      <c r="A10" s="16" t="s">
        <v>71</v>
      </c>
      <c r="B10" s="16" t="s">
        <v>284</v>
      </c>
      <c r="C10" s="16" t="s">
        <v>281</v>
      </c>
      <c r="D10" s="16" t="s">
        <v>275</v>
      </c>
      <c r="E10" s="16" t="s">
        <v>282</v>
      </c>
      <c r="F10" s="16" t="s">
        <v>224</v>
      </c>
      <c r="G10" s="16" t="s">
        <v>224</v>
      </c>
      <c r="H10" s="16" t="s">
        <v>224</v>
      </c>
      <c r="I10" s="16" t="s">
        <v>224</v>
      </c>
      <c r="J10" s="17">
        <v>1</v>
      </c>
      <c r="K10" s="35">
        <v>46433</v>
      </c>
      <c r="L10" s="17">
        <v>1</v>
      </c>
      <c r="M10" s="36" t="s">
        <v>225</v>
      </c>
      <c r="N10" s="16" t="s">
        <v>223</v>
      </c>
      <c r="O10" s="21" t="str">
        <f t="shared" ca="1" si="0"/>
        <v>oc002i000578</v>
      </c>
      <c r="P10" s="22" t="str">
        <f t="shared" si="1"/>
        <v>Mutualise</v>
      </c>
      <c r="Q10" s="24">
        <f>IFERROR(INDEX(tblDynatrace[CPU reel p95 (cores)],MATCH(A10,tblDynatrace[Application],0)),"")</f>
        <v>3</v>
      </c>
      <c r="R10" s="24">
        <f>IFERROR(INDEX(tblDynatrace[RAM reelle p95 (Go)],MATCH(A10,tblDynatrace[Application],0)),"")</f>
        <v>12</v>
      </c>
      <c r="S10" s="24">
        <f>IF(Q10="","",ROUNDUP(Q10*Tarifs_ABS!$C$9,0)*J10)</f>
        <v>4</v>
      </c>
      <c r="T10" s="24">
        <f>IF(R10="","",ROUNDUP(R10*Tarifs_ABS!$C$9,0)*J10)</f>
        <v>15</v>
      </c>
      <c r="U10" s="37">
        <f t="shared" si="2"/>
        <v>46461</v>
      </c>
      <c r="V10" s="21" t="str">
        <f t="shared" ca="1" si="3"/>
        <v>OK</v>
      </c>
      <c r="W10" s="22" t="str">
        <f t="shared" si="4"/>
        <v>HORSPROD</v>
      </c>
      <c r="X10" s="21" t="str">
        <f t="shared" si="5"/>
        <v>GIE France</v>
      </c>
      <c r="Y10" s="21" t="str">
        <f t="shared" si="6"/>
        <v>GIE France|N|HORSPROD</v>
      </c>
      <c r="Z10" s="27" t="str">
        <f ca="1">IFERROR(INDEX(tblClusters[Type (deduit)],MATCH(O10,tblClusters[Cluster],0)),"")</f>
        <v>Mutualise</v>
      </c>
      <c r="AA10" s="22" t="str">
        <f t="shared" ca="1" si="7"/>
        <v>OK</v>
      </c>
      <c r="AB10" s="28" t="str">
        <f>IFERROR(INDEX(tblRegles[Cluster ROKS cible principal],MATCH(Y10,tblRegles[Cle de selection],0)),"")</f>
        <v>oc002i000578</v>
      </c>
      <c r="AC10" s="28" t="str">
        <f>IFERROR(IF(INDEX(tblRegles[Cluster de repli optionnel],MATCH(Y10,tblRegles[Cle de selection],0))=0,"",INDEX(tblRegles[Cluster de repli optionnel],MATCH(Y10,tblRegles[Cle de selection],0))),"")</f>
        <v/>
      </c>
      <c r="AD10" s="25">
        <f ca="1">SUMIFS(tblApplications[CPU cible ROKS],tblApplications[Cluster ROKS cible (auto)],AB10,tblApplications[Mois de bascule prevu],"&lt;"&amp;K10)</f>
        <v>2</v>
      </c>
      <c r="AE10" s="25">
        <f ca="1">SUMIFS(tblApplications[RAM cible ROKS],tblApplications[Cluster ROKS cible (auto)],AB10,tblApplications[Mois de bascule prevu],"&lt;"&amp;K10)</f>
        <v>5</v>
      </c>
      <c r="AF10" s="24">
        <f>IFERROR(INDEX(tblClusters[CPU max (cores)],MATCH(AB10,tblClusters[Cluster],0)),0)</f>
        <v>192</v>
      </c>
      <c r="AG10" s="24">
        <f>IFERROR(INDEX(tblClusters[RAM max (Go)],MATCH(AB10,tblClusters[Cluster],0)),0)</f>
        <v>480</v>
      </c>
      <c r="AH10" s="24">
        <f>IFERROR(INDEX(tblClusters[Worker Count],MATCH(AB10,tblClusters[Cluster],0)),0)</f>
        <v>6</v>
      </c>
      <c r="AI10" s="27" t="str">
        <f ca="1">IF(AB10="","NON",IF(AF10=0,"NON",IF(OR((AD10+S10)/AF10&gt;=Clusters_ROKS!$AC$5,(AE10+T10)/AG10&gt;=Clusters_ROKS!$AC$5,AH10&gt;=Clusters_ROKS!$AC$6),"NON","OUI")))</f>
        <v>OUI</v>
      </c>
      <c r="AJ10" s="25">
        <f>IF(AC10="",0,SUMIFS(tblApplications[CPU cible ROKS],tblApplications[Cluster ROKS cible (auto)],AC10,tblApplications[Mois de bascule prevu],"&lt;"&amp;K10))</f>
        <v>0</v>
      </c>
      <c r="AK10" s="25">
        <f>IF(AC10="",0,SUMIFS(tblApplications[RAM cible ROKS],tblApplications[Cluster ROKS cible (auto)],AC10,tblApplications[Mois de bascule prevu],"&lt;"&amp;K10))</f>
        <v>0</v>
      </c>
      <c r="AL10" s="24">
        <f>IF(AC10="",0,IFERROR(INDEX(tblClusters[CPU max (cores)],MATCH(AC10,tblClusters[Cluster],0)),0))</f>
        <v>0</v>
      </c>
      <c r="AM10" s="24">
        <f>IF(AC10="",0,IFERROR(INDEX(tblClusters[RAM max (Go)],MATCH(AC10,tblClusters[Cluster],0)),0))</f>
        <v>0</v>
      </c>
      <c r="AN10" s="24">
        <f>IF(AC10="",0,IFERROR(INDEX(tblClusters[Worker Count],MATCH(AC10,tblClusters[Cluster],0)),0))</f>
        <v>0</v>
      </c>
      <c r="AO10" s="27" t="str">
        <f>IF(AC10="","NON",IF(AL10=0,"NON",IF(OR((AJ10+S10)/AL10&gt;=Clusters_ROKS!$AC$5,(AK10+T10)/AM10&gt;=Clusters_ROKS!$AC$5,AN10&gt;=Clusters_ROKS!$AC$6),"NON","OUI")))</f>
        <v>NON</v>
      </c>
    </row>
    <row r="11" spans="1:41" x14ac:dyDescent="0.2">
      <c r="A11" s="16" t="s">
        <v>72</v>
      </c>
      <c r="B11" s="16" t="s">
        <v>285</v>
      </c>
      <c r="C11" s="16" t="s">
        <v>286</v>
      </c>
      <c r="D11" s="16" t="s">
        <v>275</v>
      </c>
      <c r="E11" s="16" t="s">
        <v>276</v>
      </c>
      <c r="F11" s="16" t="s">
        <v>224</v>
      </c>
      <c r="G11" s="16" t="s">
        <v>224</v>
      </c>
      <c r="H11" s="16" t="s">
        <v>225</v>
      </c>
      <c r="I11" s="16" t="s">
        <v>224</v>
      </c>
      <c r="J11" s="17">
        <v>3</v>
      </c>
      <c r="K11" s="35">
        <v>46522</v>
      </c>
      <c r="L11" s="17">
        <v>2</v>
      </c>
      <c r="M11" s="36" t="s">
        <v>225</v>
      </c>
      <c r="N11" s="16" t="s">
        <v>223</v>
      </c>
      <c r="O11" s="21" t="str">
        <f t="shared" si="0"/>
        <v>oc-JUMP-CLV-PRD</v>
      </c>
      <c r="P11" s="22" t="str">
        <f t="shared" si="1"/>
        <v>Dedie</v>
      </c>
      <c r="Q11" s="24">
        <f>IFERROR(INDEX(tblDynatrace[CPU reel p95 (cores)],MATCH(A11,tblDynatrace[Application],0)),"")</f>
        <v>10</v>
      </c>
      <c r="R11" s="24">
        <f>IFERROR(INDEX(tblDynatrace[RAM reelle p95 (Go)],MATCH(A11,tblDynatrace[Application],0)),"")</f>
        <v>40</v>
      </c>
      <c r="S11" s="24">
        <f>IF(Q11="","",ROUNDUP(Q11*Tarifs_ABS!$C$9,0)*J11)</f>
        <v>36</v>
      </c>
      <c r="T11" s="24">
        <f>IF(R11="","",ROUNDUP(R11*Tarifs_ABS!$C$9,0)*J11)</f>
        <v>144</v>
      </c>
      <c r="U11" s="37">
        <f t="shared" si="2"/>
        <v>46583</v>
      </c>
      <c r="V11" s="21" t="str">
        <f t="shared" si="3"/>
        <v>Cluster principal plein, aucun repli defini, cluster supplementaire a prevoir</v>
      </c>
      <c r="W11" s="22" t="str">
        <f t="shared" si="4"/>
        <v>PROD</v>
      </c>
      <c r="X11" s="21" t="str">
        <f t="shared" si="5"/>
        <v>JUMP CLV</v>
      </c>
      <c r="Y11" s="21" t="str">
        <f t="shared" si="6"/>
        <v>JUMP CLV|N|PROD</v>
      </c>
      <c r="Z11" s="27" t="str">
        <f>IFERROR(INDEX(tblClusters[Type (deduit)],MATCH(O11,tblClusters[Cluster],0)),"")</f>
        <v>Dedie</v>
      </c>
      <c r="AA11" s="22" t="str">
        <f t="shared" si="7"/>
        <v>OK</v>
      </c>
      <c r="AB11" s="28" t="str">
        <f>IFERROR(INDEX(tblRegles[Cluster ROKS cible principal],MATCH(Y11,tblRegles[Cle de selection],0)),"")</f>
        <v>oc-JUMP-CLV-PRD</v>
      </c>
      <c r="AC11" s="28" t="str">
        <f>IFERROR(IF(INDEX(tblRegles[Cluster de repli optionnel],MATCH(Y11,tblRegles[Cle de selection],0))=0,"",INDEX(tblRegles[Cluster de repli optionnel],MATCH(Y11,tblRegles[Cle de selection],0))),"")</f>
        <v/>
      </c>
      <c r="AD11" s="25">
        <f ca="1">SUMIFS(tblApplications[CPU cible ROKS],tblApplications[Cluster ROKS cible (auto)],AB11,tblApplications[Mois de bascule prevu],"&lt;"&amp;K11)</f>
        <v>0</v>
      </c>
      <c r="AE11" s="25">
        <f ca="1">SUMIFS(tblApplications[RAM cible ROKS],tblApplications[Cluster ROKS cible (auto)],AB11,tblApplications[Mois de bascule prevu],"&lt;"&amp;K11)</f>
        <v>0</v>
      </c>
      <c r="AF11" s="24">
        <f>IFERROR(INDEX(tblClusters[CPU max (cores)],MATCH(AB11,tblClusters[Cluster],0)),0)</f>
        <v>0</v>
      </c>
      <c r="AG11" s="24">
        <f>IFERROR(INDEX(tblClusters[RAM max (Go)],MATCH(AB11,tblClusters[Cluster],0)),0)</f>
        <v>0</v>
      </c>
      <c r="AH11" s="24">
        <f>IFERROR(INDEX(tblClusters[Worker Count],MATCH(AB11,tblClusters[Cluster],0)),0)</f>
        <v>0</v>
      </c>
      <c r="AI11" s="27" t="str">
        <f>IF(AB11="","NON",IF(AF11=0,"NON",IF(OR((AD11+S11)/AF11&gt;=Clusters_ROKS!$AC$5,(AE11+T11)/AG11&gt;=Clusters_ROKS!$AC$5,AH11&gt;=Clusters_ROKS!$AC$6),"NON","OUI")))</f>
        <v>NON</v>
      </c>
      <c r="AJ11" s="25">
        <f>IF(AC11="",0,SUMIFS(tblApplications[CPU cible ROKS],tblApplications[Cluster ROKS cible (auto)],AC11,tblApplications[Mois de bascule prevu],"&lt;"&amp;K11))</f>
        <v>0</v>
      </c>
      <c r="AK11" s="25">
        <f>IF(AC11="",0,SUMIFS(tblApplications[RAM cible ROKS],tblApplications[Cluster ROKS cible (auto)],AC11,tblApplications[Mois de bascule prevu],"&lt;"&amp;K11))</f>
        <v>0</v>
      </c>
      <c r="AL11" s="24">
        <f>IF(AC11="",0,IFERROR(INDEX(tblClusters[CPU max (cores)],MATCH(AC11,tblClusters[Cluster],0)),0))</f>
        <v>0</v>
      </c>
      <c r="AM11" s="24">
        <f>IF(AC11="",0,IFERROR(INDEX(tblClusters[RAM max (Go)],MATCH(AC11,tblClusters[Cluster],0)),0))</f>
        <v>0</v>
      </c>
      <c r="AN11" s="24">
        <f>IF(AC11="",0,IFERROR(INDEX(tblClusters[Worker Count],MATCH(AC11,tblClusters[Cluster],0)),0))</f>
        <v>0</v>
      </c>
      <c r="AO11" s="27" t="str">
        <f>IF(AC11="","NON",IF(AL11=0,"NON",IF(OR((AJ11+S11)/AL11&gt;=Clusters_ROKS!$AC$5,(AK11+T11)/AM11&gt;=Clusters_ROKS!$AC$5,AN11&gt;=Clusters_ROKS!$AC$6),"NON","OUI")))</f>
        <v>NON</v>
      </c>
    </row>
    <row r="12" spans="1:41" x14ac:dyDescent="0.2">
      <c r="A12" s="16" t="s">
        <v>73</v>
      </c>
      <c r="B12" s="16" t="s">
        <v>287</v>
      </c>
      <c r="C12" s="16" t="s">
        <v>288</v>
      </c>
      <c r="D12" s="16" t="s">
        <v>275</v>
      </c>
      <c r="E12" s="16" t="s">
        <v>282</v>
      </c>
      <c r="F12" s="16" t="s">
        <v>224</v>
      </c>
      <c r="G12" s="16" t="s">
        <v>224</v>
      </c>
      <c r="H12" s="16" t="s">
        <v>224</v>
      </c>
      <c r="I12" s="16" t="s">
        <v>224</v>
      </c>
      <c r="J12" s="17">
        <v>1</v>
      </c>
      <c r="K12" s="35">
        <v>46461</v>
      </c>
      <c r="L12" s="17">
        <v>1</v>
      </c>
      <c r="M12" s="36" t="s">
        <v>225</v>
      </c>
      <c r="N12" s="16" t="s">
        <v>223</v>
      </c>
      <c r="O12" s="21" t="str">
        <f t="shared" ca="1" si="0"/>
        <v>oc002i000578</v>
      </c>
      <c r="P12" s="22" t="str">
        <f t="shared" si="1"/>
        <v>Mutualise</v>
      </c>
      <c r="Q12" s="24">
        <f>IFERROR(INDEX(tblDynatrace[CPU reel p95 (cores)],MATCH(A12,tblDynatrace[Application],0)),"")</f>
        <v>2</v>
      </c>
      <c r="R12" s="24">
        <f>IFERROR(INDEX(tblDynatrace[RAM reelle p95 (Go)],MATCH(A12,tblDynatrace[Application],0)),"")</f>
        <v>8</v>
      </c>
      <c r="S12" s="24">
        <f>IF(Q12="","",ROUNDUP(Q12*Tarifs_ABS!$C$9,0)*J12)</f>
        <v>3</v>
      </c>
      <c r="T12" s="24">
        <f>IF(R12="","",ROUNDUP(R12*Tarifs_ABS!$C$9,0)*J12)</f>
        <v>10</v>
      </c>
      <c r="U12" s="37">
        <f t="shared" si="2"/>
        <v>46492</v>
      </c>
      <c r="V12" s="21" t="str">
        <f t="shared" ca="1" si="3"/>
        <v>OK</v>
      </c>
      <c r="W12" s="22" t="str">
        <f t="shared" si="4"/>
        <v>HORSPROD</v>
      </c>
      <c r="X12" s="21" t="str">
        <f t="shared" si="5"/>
        <v>GIE France</v>
      </c>
      <c r="Y12" s="21" t="str">
        <f t="shared" si="6"/>
        <v>GIE France|N|HORSPROD</v>
      </c>
      <c r="Z12" s="27" t="str">
        <f ca="1">IFERROR(INDEX(tblClusters[Type (deduit)],MATCH(O12,tblClusters[Cluster],0)),"")</f>
        <v>Mutualise</v>
      </c>
      <c r="AA12" s="22" t="str">
        <f t="shared" ca="1" si="7"/>
        <v>OK</v>
      </c>
      <c r="AB12" s="28" t="str">
        <f>IFERROR(INDEX(tblRegles[Cluster ROKS cible principal],MATCH(Y12,tblRegles[Cle de selection],0)),"")</f>
        <v>oc002i000578</v>
      </c>
      <c r="AC12" s="28" t="str">
        <f>IFERROR(IF(INDEX(tblRegles[Cluster de repli optionnel],MATCH(Y12,tblRegles[Cle de selection],0))=0,"",INDEX(tblRegles[Cluster de repli optionnel],MATCH(Y12,tblRegles[Cle de selection],0))),"")</f>
        <v/>
      </c>
      <c r="AD12" s="25">
        <f ca="1">SUMIFS(tblApplications[CPU cible ROKS],tblApplications[Cluster ROKS cible (auto)],AB12,tblApplications[Mois de bascule prevu],"&lt;"&amp;K12)</f>
        <v>6</v>
      </c>
      <c r="AE12" s="25">
        <f ca="1">SUMIFS(tblApplications[RAM cible ROKS],tblApplications[Cluster ROKS cible (auto)],AB12,tblApplications[Mois de bascule prevu],"&lt;"&amp;K12)</f>
        <v>20</v>
      </c>
      <c r="AF12" s="24">
        <f>IFERROR(INDEX(tblClusters[CPU max (cores)],MATCH(AB12,tblClusters[Cluster],0)),0)</f>
        <v>192</v>
      </c>
      <c r="AG12" s="24">
        <f>IFERROR(INDEX(tblClusters[RAM max (Go)],MATCH(AB12,tblClusters[Cluster],0)),0)</f>
        <v>480</v>
      </c>
      <c r="AH12" s="24">
        <f>IFERROR(INDEX(tblClusters[Worker Count],MATCH(AB12,tblClusters[Cluster],0)),0)</f>
        <v>6</v>
      </c>
      <c r="AI12" s="27" t="str">
        <f ca="1">IF(AB12="","NON",IF(AF12=0,"NON",IF(OR((AD12+S12)/AF12&gt;=Clusters_ROKS!$AC$5,(AE12+T12)/AG12&gt;=Clusters_ROKS!$AC$5,AH12&gt;=Clusters_ROKS!$AC$6),"NON","OUI")))</f>
        <v>OUI</v>
      </c>
      <c r="AJ12" s="25">
        <f>IF(AC12="",0,SUMIFS(tblApplications[CPU cible ROKS],tblApplications[Cluster ROKS cible (auto)],AC12,tblApplications[Mois de bascule prevu],"&lt;"&amp;K12))</f>
        <v>0</v>
      </c>
      <c r="AK12" s="25">
        <f>IF(AC12="",0,SUMIFS(tblApplications[RAM cible ROKS],tblApplications[Cluster ROKS cible (auto)],AC12,tblApplications[Mois de bascule prevu],"&lt;"&amp;K12))</f>
        <v>0</v>
      </c>
      <c r="AL12" s="24">
        <f>IF(AC12="",0,IFERROR(INDEX(tblClusters[CPU max (cores)],MATCH(AC12,tblClusters[Cluster],0)),0))</f>
        <v>0</v>
      </c>
      <c r="AM12" s="24">
        <f>IF(AC12="",0,IFERROR(INDEX(tblClusters[RAM max (Go)],MATCH(AC12,tblClusters[Cluster],0)),0))</f>
        <v>0</v>
      </c>
      <c r="AN12" s="24">
        <f>IF(AC12="",0,IFERROR(INDEX(tblClusters[Worker Count],MATCH(AC12,tblClusters[Cluster],0)),0))</f>
        <v>0</v>
      </c>
      <c r="AO12" s="27" t="str">
        <f>IF(AC12="","NON",IF(AL12=0,"NON",IF(OR((AJ12+S12)/AL12&gt;=Clusters_ROKS!$AC$5,(AK12+T12)/AM12&gt;=Clusters_ROKS!$AC$5,AN12&gt;=Clusters_ROKS!$AC$6),"NON","OUI")))</f>
        <v>NON</v>
      </c>
    </row>
    <row r="13" spans="1:41" x14ac:dyDescent="0.2">
      <c r="A13" s="16" t="s">
        <v>74</v>
      </c>
      <c r="B13" s="16" t="s">
        <v>289</v>
      </c>
      <c r="C13" s="16" t="s">
        <v>286</v>
      </c>
      <c r="D13" s="16" t="s">
        <v>290</v>
      </c>
      <c r="E13" s="16" t="s">
        <v>276</v>
      </c>
      <c r="F13" s="16" t="s">
        <v>224</v>
      </c>
      <c r="G13" s="16" t="s">
        <v>224</v>
      </c>
      <c r="H13" s="16" t="s">
        <v>224</v>
      </c>
      <c r="I13" s="16" t="s">
        <v>225</v>
      </c>
      <c r="J13" s="17">
        <v>2</v>
      </c>
      <c r="K13" s="35">
        <v>46371</v>
      </c>
      <c r="L13" s="17">
        <v>0</v>
      </c>
      <c r="M13" s="36" t="s">
        <v>225</v>
      </c>
      <c r="N13" s="16" t="s">
        <v>223</v>
      </c>
      <c r="O13" s="21" t="str">
        <f t="shared" si="0"/>
        <v>oc-JUMP-AEP-PRD</v>
      </c>
      <c r="P13" s="22" t="str">
        <f t="shared" si="1"/>
        <v>Dedie</v>
      </c>
      <c r="Q13" s="24">
        <f>IFERROR(INDEX(tblDynatrace[CPU reel p95 (cores)],MATCH(A13,tblDynatrace[Application],0)),"")</f>
        <v>5</v>
      </c>
      <c r="R13" s="24">
        <f>IFERROR(INDEX(tblDynatrace[RAM reelle p95 (Go)],MATCH(A13,tblDynatrace[Application],0)),"")</f>
        <v>20</v>
      </c>
      <c r="S13" s="24">
        <f>IF(Q13="","",ROUNDUP(Q13*Tarifs_ABS!$C$9,0)*J13)</f>
        <v>12</v>
      </c>
      <c r="T13" s="24">
        <f>IF(R13="","",ROUNDUP(R13*Tarifs_ABS!$C$9,0)*J13)</f>
        <v>48</v>
      </c>
      <c r="U13" s="37">
        <f t="shared" si="2"/>
        <v>46371</v>
      </c>
      <c r="V13" s="21" t="str">
        <f t="shared" si="3"/>
        <v>Cluster principal plein, aucun repli defini, cluster supplementaire a prevoir</v>
      </c>
      <c r="W13" s="22" t="str">
        <f t="shared" si="4"/>
        <v>PROD</v>
      </c>
      <c r="X13" s="21" t="str">
        <f t="shared" si="5"/>
        <v>JUMP AEP</v>
      </c>
      <c r="Y13" s="21" t="str">
        <f t="shared" si="6"/>
        <v>JUMP AEP|N|PROD</v>
      </c>
      <c r="Z13" s="27" t="str">
        <f>IFERROR(INDEX(tblClusters[Type (deduit)],MATCH(O13,tblClusters[Cluster],0)),"")</f>
        <v>Dedie</v>
      </c>
      <c r="AA13" s="22" t="str">
        <f t="shared" si="7"/>
        <v>OK</v>
      </c>
      <c r="AB13" s="28" t="str">
        <f>IFERROR(INDEX(tblRegles[Cluster ROKS cible principal],MATCH(Y13,tblRegles[Cle de selection],0)),"")</f>
        <v>oc-JUMP-AEP-PRD</v>
      </c>
      <c r="AC13" s="28" t="str">
        <f>IFERROR(IF(INDEX(tblRegles[Cluster de repli optionnel],MATCH(Y13,tblRegles[Cle de selection],0))=0,"",INDEX(tblRegles[Cluster de repli optionnel],MATCH(Y13,tblRegles[Cle de selection],0))),"")</f>
        <v/>
      </c>
      <c r="AD13" s="25">
        <f ca="1">SUMIFS(tblApplications[CPU cible ROKS],tblApplications[Cluster ROKS cible (auto)],AB13,tblApplications[Mois de bascule prevu],"&lt;"&amp;K13)</f>
        <v>0</v>
      </c>
      <c r="AE13" s="25">
        <f ca="1">SUMIFS(tblApplications[RAM cible ROKS],tblApplications[Cluster ROKS cible (auto)],AB13,tblApplications[Mois de bascule prevu],"&lt;"&amp;K13)</f>
        <v>0</v>
      </c>
      <c r="AF13" s="24">
        <f>IFERROR(INDEX(tblClusters[CPU max (cores)],MATCH(AB13,tblClusters[Cluster],0)),0)</f>
        <v>0</v>
      </c>
      <c r="AG13" s="24">
        <f>IFERROR(INDEX(tblClusters[RAM max (Go)],MATCH(AB13,tblClusters[Cluster],0)),0)</f>
        <v>0</v>
      </c>
      <c r="AH13" s="24">
        <f>IFERROR(INDEX(tblClusters[Worker Count],MATCH(AB13,tblClusters[Cluster],0)),0)</f>
        <v>0</v>
      </c>
      <c r="AI13" s="27" t="str">
        <f>IF(AB13="","NON",IF(AF13=0,"NON",IF(OR((AD13+S13)/AF13&gt;=Clusters_ROKS!$AC$5,(AE13+T13)/AG13&gt;=Clusters_ROKS!$AC$5,AH13&gt;=Clusters_ROKS!$AC$6),"NON","OUI")))</f>
        <v>NON</v>
      </c>
      <c r="AJ13" s="25">
        <f>IF(AC13="",0,SUMIFS(tblApplications[CPU cible ROKS],tblApplications[Cluster ROKS cible (auto)],AC13,tblApplications[Mois de bascule prevu],"&lt;"&amp;K13))</f>
        <v>0</v>
      </c>
      <c r="AK13" s="25">
        <f>IF(AC13="",0,SUMIFS(tblApplications[RAM cible ROKS],tblApplications[Cluster ROKS cible (auto)],AC13,tblApplications[Mois de bascule prevu],"&lt;"&amp;K13))</f>
        <v>0</v>
      </c>
      <c r="AL13" s="24">
        <f>IF(AC13="",0,IFERROR(INDEX(tblClusters[CPU max (cores)],MATCH(AC13,tblClusters[Cluster],0)),0))</f>
        <v>0</v>
      </c>
      <c r="AM13" s="24">
        <f>IF(AC13="",0,IFERROR(INDEX(tblClusters[RAM max (Go)],MATCH(AC13,tblClusters[Cluster],0)),0))</f>
        <v>0</v>
      </c>
      <c r="AN13" s="24">
        <f>IF(AC13="",0,IFERROR(INDEX(tblClusters[Worker Count],MATCH(AC13,tblClusters[Cluster],0)),0))</f>
        <v>0</v>
      </c>
      <c r="AO13" s="27" t="str">
        <f>IF(AC13="","NON",IF(AL13=0,"NON",IF(OR((AJ13+S13)/AL13&gt;=Clusters_ROKS!$AC$5,(AK13+T13)/AM13&gt;=Clusters_ROKS!$AC$5,AN13&gt;=Clusters_ROKS!$AC$6),"NON","OUI")))</f>
        <v>NON</v>
      </c>
    </row>
    <row r="14" spans="1:41" x14ac:dyDescent="0.2">
      <c r="A14" s="16" t="s">
        <v>75</v>
      </c>
      <c r="B14" s="16" t="s">
        <v>291</v>
      </c>
      <c r="C14" s="16" t="s">
        <v>288</v>
      </c>
      <c r="D14" s="16" t="s">
        <v>275</v>
      </c>
      <c r="E14" s="16" t="s">
        <v>282</v>
      </c>
      <c r="F14" s="16" t="s">
        <v>224</v>
      </c>
      <c r="G14" s="16" t="s">
        <v>224</v>
      </c>
      <c r="H14" s="16" t="s">
        <v>224</v>
      </c>
      <c r="I14" s="16" t="s">
        <v>224</v>
      </c>
      <c r="J14" s="17">
        <v>2</v>
      </c>
      <c r="K14" s="35">
        <v>46553</v>
      </c>
      <c r="L14" s="17">
        <v>1</v>
      </c>
      <c r="M14" s="36" t="s">
        <v>225</v>
      </c>
      <c r="N14" s="16" t="s">
        <v>223</v>
      </c>
      <c r="O14" s="21" t="str">
        <f t="shared" ca="1" si="0"/>
        <v>oc002i000578</v>
      </c>
      <c r="P14" s="22" t="str">
        <f t="shared" si="1"/>
        <v>Mutualise</v>
      </c>
      <c r="Q14" s="24">
        <f>IFERROR(INDEX(tblDynatrace[CPU reel p95 (cores)],MATCH(A14,tblDynatrace[Application],0)),"")</f>
        <v>4</v>
      </c>
      <c r="R14" s="24">
        <f>IFERROR(INDEX(tblDynatrace[RAM reelle p95 (Go)],MATCH(A14,tblDynatrace[Application],0)),"")</f>
        <v>16</v>
      </c>
      <c r="S14" s="24">
        <f>IF(Q14="","",ROUNDUP(Q14*Tarifs_ABS!$C$9,0)*J14)</f>
        <v>10</v>
      </c>
      <c r="T14" s="24">
        <f>IF(R14="","",ROUNDUP(R14*Tarifs_ABS!$C$9,0)*J14)</f>
        <v>40</v>
      </c>
      <c r="U14" s="37">
        <f t="shared" si="2"/>
        <v>46583</v>
      </c>
      <c r="V14" s="21" t="str">
        <f t="shared" ca="1" si="3"/>
        <v>OK</v>
      </c>
      <c r="W14" s="22" t="str">
        <f t="shared" si="4"/>
        <v>HORSPROD</v>
      </c>
      <c r="X14" s="21" t="str">
        <f t="shared" si="5"/>
        <v>GIE France</v>
      </c>
      <c r="Y14" s="21" t="str">
        <f t="shared" si="6"/>
        <v>GIE France|N|HORSPROD</v>
      </c>
      <c r="Z14" s="27" t="str">
        <f ca="1">IFERROR(INDEX(tblClusters[Type (deduit)],MATCH(O14,tblClusters[Cluster],0)),"")</f>
        <v>Mutualise</v>
      </c>
      <c r="AA14" s="22" t="str">
        <f t="shared" ca="1" si="7"/>
        <v>OK</v>
      </c>
      <c r="AB14" s="28" t="str">
        <f>IFERROR(INDEX(tblRegles[Cluster ROKS cible principal],MATCH(Y14,tblRegles[Cle de selection],0)),"")</f>
        <v>oc002i000578</v>
      </c>
      <c r="AC14" s="28" t="str">
        <f>IFERROR(IF(INDEX(tblRegles[Cluster de repli optionnel],MATCH(Y14,tblRegles[Cle de selection],0))=0,"",INDEX(tblRegles[Cluster de repli optionnel],MATCH(Y14,tblRegles[Cle de selection],0))),"")</f>
        <v/>
      </c>
      <c r="AD14" s="25">
        <f ca="1">SUMIFS(tblApplications[CPU cible ROKS],tblApplications[Cluster ROKS cible (auto)],AB14,tblApplications[Mois de bascule prevu],"&lt;"&amp;K14)</f>
        <v>9</v>
      </c>
      <c r="AE14" s="25">
        <f ca="1">SUMIFS(tblApplications[RAM cible ROKS],tblApplications[Cluster ROKS cible (auto)],AB14,tblApplications[Mois de bascule prevu],"&lt;"&amp;K14)</f>
        <v>30</v>
      </c>
      <c r="AF14" s="24">
        <f>IFERROR(INDEX(tblClusters[CPU max (cores)],MATCH(AB14,tblClusters[Cluster],0)),0)</f>
        <v>192</v>
      </c>
      <c r="AG14" s="24">
        <f>IFERROR(INDEX(tblClusters[RAM max (Go)],MATCH(AB14,tblClusters[Cluster],0)),0)</f>
        <v>480</v>
      </c>
      <c r="AH14" s="24">
        <f>IFERROR(INDEX(tblClusters[Worker Count],MATCH(AB14,tblClusters[Cluster],0)),0)</f>
        <v>6</v>
      </c>
      <c r="AI14" s="27" t="str">
        <f ca="1">IF(AB14="","NON",IF(AF14=0,"NON",IF(OR((AD14+S14)/AF14&gt;=Clusters_ROKS!$AC$5,(AE14+T14)/AG14&gt;=Clusters_ROKS!$AC$5,AH14&gt;=Clusters_ROKS!$AC$6),"NON","OUI")))</f>
        <v>OUI</v>
      </c>
      <c r="AJ14" s="25">
        <f>IF(AC14="",0,SUMIFS(tblApplications[CPU cible ROKS],tblApplications[Cluster ROKS cible (auto)],AC14,tblApplications[Mois de bascule prevu],"&lt;"&amp;K14))</f>
        <v>0</v>
      </c>
      <c r="AK14" s="25">
        <f>IF(AC14="",0,SUMIFS(tblApplications[RAM cible ROKS],tblApplications[Cluster ROKS cible (auto)],AC14,tblApplications[Mois de bascule prevu],"&lt;"&amp;K14))</f>
        <v>0</v>
      </c>
      <c r="AL14" s="24">
        <f>IF(AC14="",0,IFERROR(INDEX(tblClusters[CPU max (cores)],MATCH(AC14,tblClusters[Cluster],0)),0))</f>
        <v>0</v>
      </c>
      <c r="AM14" s="24">
        <f>IF(AC14="",0,IFERROR(INDEX(tblClusters[RAM max (Go)],MATCH(AC14,tblClusters[Cluster],0)),0))</f>
        <v>0</v>
      </c>
      <c r="AN14" s="24">
        <f>IF(AC14="",0,IFERROR(INDEX(tblClusters[Worker Count],MATCH(AC14,tblClusters[Cluster],0)),0))</f>
        <v>0</v>
      </c>
      <c r="AO14" s="27" t="str">
        <f>IF(AC14="","NON",IF(AL14=0,"NON",IF(OR((AJ14+S14)/AL14&gt;=Clusters_ROKS!$AC$5,(AK14+T14)/AM14&gt;=Clusters_ROKS!$AC$5,AN14&gt;=Clusters_ROKS!$AC$6),"NON","OUI")))</f>
        <v>NON</v>
      </c>
    </row>
    <row r="16" spans="1:41" x14ac:dyDescent="0.2">
      <c r="A16" s="48" t="s">
        <v>292</v>
      </c>
      <c r="B16" s="47"/>
      <c r="C16" s="47"/>
      <c r="D16" s="47"/>
      <c r="E16" s="47"/>
      <c r="F16" s="47"/>
      <c r="G16" s="47"/>
      <c r="H16" s="47"/>
      <c r="I16" s="47"/>
      <c r="J16" s="47"/>
    </row>
    <row r="17" spans="1:10" x14ac:dyDescent="0.2">
      <c r="A17" s="47"/>
      <c r="B17" s="47"/>
      <c r="C17" s="47"/>
      <c r="D17" s="47"/>
      <c r="E17" s="47"/>
      <c r="F17" s="47"/>
      <c r="G17" s="47"/>
      <c r="H17" s="47"/>
      <c r="I17" s="47"/>
      <c r="J17" s="47"/>
    </row>
    <row r="18" spans="1:10" x14ac:dyDescent="0.2">
      <c r="A18" s="47"/>
      <c r="B18" s="47"/>
      <c r="C18" s="47"/>
      <c r="D18" s="47"/>
      <c r="E18" s="47"/>
      <c r="F18" s="47"/>
      <c r="G18" s="47"/>
      <c r="H18" s="47"/>
      <c r="I18" s="47"/>
      <c r="J18" s="47"/>
    </row>
    <row r="19" spans="1:10" x14ac:dyDescent="0.2">
      <c r="A19" s="47"/>
      <c r="B19" s="47"/>
      <c r="C19" s="47"/>
      <c r="D19" s="47"/>
      <c r="E19" s="47"/>
      <c r="F19" s="47"/>
      <c r="G19" s="47"/>
      <c r="H19" s="47"/>
      <c r="I19" s="47"/>
      <c r="J19" s="47"/>
    </row>
  </sheetData>
  <mergeCells count="2">
    <mergeCell ref="A16:J19"/>
    <mergeCell ref="A3:V3"/>
  </mergeCells>
  <conditionalFormatting sqref="O5:O14">
    <cfRule type="expression" dxfId="4" priority="1">
      <formula>ISNUMBER(SEARCH("a definir",O5))</formula>
    </cfRule>
  </conditionalFormatting>
  <conditionalFormatting sqref="V5:V14">
    <cfRule type="expression" dxfId="3" priority="2">
      <formula>ISNUMBER(SEARCH("prevoir",V5))</formula>
    </cfRule>
    <cfRule type="expression" dxfId="2" priority="3">
      <formula>ISNUMBER(SEARCH("incoherent",V5))</formula>
    </cfRule>
    <cfRule type="expression" dxfId="1" priority="4">
      <formula>ISNUMBER(SEARCH("Bascule",V5))</formula>
    </cfRule>
  </conditionalFormatting>
  <dataValidations count="2">
    <dataValidation type="list" allowBlank="1" errorTitle="Région inconnue" error="Choisissez une région/périmètre existante (ou ajoutez-la dans Regles_Selection_Cluster)." sqref="N5:N14" xr:uid="{00000000-0002-0000-0600-000000000000}">
      <formula1>"GIE France,Italy,LATAM,EMEA,JUMP AEP,JUMP CLV,PREZ-I GIE,Mutualise Standard DMZR"</formula1>
    </dataValidation>
    <dataValidation type="list" allowBlank="1" sqref="M5:M14" xr:uid="{00000000-0002-0000-0600-000001000000}">
      <formula1>"O,N"</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68"/>
  <sheetViews>
    <sheetView showGridLines="0"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12" customWidth="1"/>
    <col min="2" max="2" width="18" customWidth="1"/>
    <col min="3" max="3" width="22" customWidth="1"/>
    <col min="4" max="18" width="15" customWidth="1"/>
  </cols>
  <sheetData>
    <row r="1" spans="1:18" ht="18" x14ac:dyDescent="0.2">
      <c r="A1" s="1" t="s">
        <v>293</v>
      </c>
    </row>
    <row r="2" spans="1:18" x14ac:dyDescent="0.2">
      <c r="A2" s="2" t="s">
        <v>294</v>
      </c>
    </row>
    <row r="4" spans="1:18" ht="42" x14ac:dyDescent="0.2">
      <c r="A4" s="15" t="s">
        <v>295</v>
      </c>
      <c r="B4" s="15" t="s">
        <v>127</v>
      </c>
      <c r="C4" s="15" t="s">
        <v>128</v>
      </c>
      <c r="D4" s="15" t="s">
        <v>296</v>
      </c>
      <c r="E4" s="15" t="s">
        <v>135</v>
      </c>
      <c r="F4" s="15" t="s">
        <v>136</v>
      </c>
      <c r="G4" s="15" t="s">
        <v>297</v>
      </c>
      <c r="H4" s="15" t="s">
        <v>298</v>
      </c>
      <c r="I4" s="15" t="s">
        <v>299</v>
      </c>
      <c r="J4" s="15" t="s">
        <v>300</v>
      </c>
      <c r="K4" s="15" t="s">
        <v>301</v>
      </c>
      <c r="L4" s="15" t="s">
        <v>302</v>
      </c>
      <c r="M4" s="15" t="s">
        <v>141</v>
      </c>
      <c r="N4" s="15" t="s">
        <v>142</v>
      </c>
      <c r="O4" s="15" t="s">
        <v>143</v>
      </c>
      <c r="P4" s="15" t="s">
        <v>303</v>
      </c>
      <c r="Q4" s="15" t="s">
        <v>304</v>
      </c>
      <c r="R4" s="15" t="s">
        <v>305</v>
      </c>
    </row>
    <row r="5" spans="1:18" x14ac:dyDescent="0.2">
      <c r="A5" s="38">
        <v>46388</v>
      </c>
      <c r="B5" s="21" t="s">
        <v>151</v>
      </c>
      <c r="C5" s="28" t="str">
        <f>IFERROR(INDEX(tblClusters[Utilisation],MATCH($B5,tblClusters[Cluster],0)),"")</f>
        <v>Mutualise GIE France</v>
      </c>
      <c r="D5" s="28" t="str">
        <f>IFERROR(INDEX(tblClusters[Type (deduit)],MATCH($B5,tblClusters[Cluster],0)),"")</f>
        <v>Mutualise</v>
      </c>
      <c r="E5" s="24">
        <f>IFERROR(INDEX(tblClusters[CPU max (cores)],MATCH($B5,tblClusters[Cluster],0)),0)</f>
        <v>48</v>
      </c>
      <c r="F5" s="24">
        <f>IFERROR(INDEX(tblClusters[RAM max (Go)],MATCH($B5,tblClusters[Cluster],0)),0)</f>
        <v>240</v>
      </c>
      <c r="G5" s="24">
        <f>IFERROR(INDEX(tblClusters[Charge existante CPU hors migration],MATCH($B5,tblClusters[Cluster],0)),0)</f>
        <v>0</v>
      </c>
      <c r="H5" s="24">
        <f>IFERROR(INDEX(tblClusters[Charge existante RAM hors migration (Go)],MATCH($B5,tblClusters[Cluster],0)),0)</f>
        <v>0</v>
      </c>
      <c r="I5" s="24">
        <f ca="1">SUMIFS(tblApplications[CPU cible ROKS],tblApplications[Cluster ROKS cible (auto)],$B5,tblApplications[Mois de bascule prevu],"&lt;="&amp;EOMONTH($A5,0),tblApplications[Inclus projection O/N],"O")</f>
        <v>10</v>
      </c>
      <c r="J5" s="24">
        <f ca="1">SUMIFS(tblApplications[RAM cible ROKS],tblApplications[Cluster ROKS cible (auto)],$B5,tblApplications[Mois de bascule prevu],"&lt;="&amp;EOMONTH($A5,0),tblApplications[Inclus projection O/N],"O")</f>
        <v>40</v>
      </c>
      <c r="K5" s="25">
        <f t="shared" ref="K5:K68" ca="1" si="0">G5+I5</f>
        <v>10</v>
      </c>
      <c r="L5" s="25">
        <f t="shared" ref="L5:L68" ca="1" si="1">H5+J5</f>
        <v>40</v>
      </c>
      <c r="M5" s="26">
        <f t="shared" ref="M5:M68" ca="1" si="2">IF(E5=0,"",K5/E5)</f>
        <v>0.20833333333333334</v>
      </c>
      <c r="N5" s="26">
        <f t="shared" ref="N5:N68" ca="1" si="3">IF(F5=0,"",L5/F5)</f>
        <v>0.16666666666666666</v>
      </c>
      <c r="O5" s="22" t="str">
        <f ca="1">IF(E5=0,IF(K5&gt;0,"Cluster sans capacite provisionnee","n/a"),IF(OR(M5&gt;=Clusters_ROKS!$AC$5,N5&gt;=Clusters_ROKS!$AC$5),"Seuil depasse","OK"))</f>
        <v>OK</v>
      </c>
      <c r="P5" s="25">
        <f t="shared" ref="P5:P68" ca="1" si="4">MAX(0,K5-E5)</f>
        <v>0</v>
      </c>
      <c r="Q5" s="25">
        <f t="shared" ref="Q5:Q68" ca="1" si="5">MAX(0,L5-F5)</f>
        <v>0</v>
      </c>
      <c r="R5" s="24">
        <f ca="1">IF(AND(P5=0,Q5=0),0,IFERROR(MAX(ROUNDUP(P5/INDEX(tblClusters[vCPU / noeud (deduit)],MATCH($B5,tblClusters[Cluster],0)),0),ROUNDUP(Q5/INDEX(tblClusters[RAM / noeud - Go (deduit)],MATCH($B5,tblClusters[Cluster],0)),0)),"Flavor a definir"))</f>
        <v>0</v>
      </c>
    </row>
    <row r="6" spans="1:18" x14ac:dyDescent="0.2">
      <c r="A6" s="38">
        <v>46419</v>
      </c>
      <c r="B6" s="21" t="s">
        <v>151</v>
      </c>
      <c r="C6" s="28" t="str">
        <f>IFERROR(INDEX(tblClusters[Utilisation],MATCH($B6,tblClusters[Cluster],0)),"")</f>
        <v>Mutualise GIE France</v>
      </c>
      <c r="D6" s="28" t="str">
        <f>IFERROR(INDEX(tblClusters[Type (deduit)],MATCH($B6,tblClusters[Cluster],0)),"")</f>
        <v>Mutualise</v>
      </c>
      <c r="E6" s="24">
        <f>IFERROR(INDEX(tblClusters[CPU max (cores)],MATCH($B6,tblClusters[Cluster],0)),0)</f>
        <v>48</v>
      </c>
      <c r="F6" s="24">
        <f>IFERROR(INDEX(tblClusters[RAM max (Go)],MATCH($B6,tblClusters[Cluster],0)),0)</f>
        <v>240</v>
      </c>
      <c r="G6" s="24">
        <f>IFERROR(INDEX(tblClusters[Charge existante CPU hors migration],MATCH($B6,tblClusters[Cluster],0)),0)</f>
        <v>0</v>
      </c>
      <c r="H6" s="24">
        <f>IFERROR(INDEX(tblClusters[Charge existante RAM hors migration (Go)],MATCH($B6,tblClusters[Cluster],0)),0)</f>
        <v>0</v>
      </c>
      <c r="I6" s="24">
        <f ca="1">SUMIFS(tblApplications[CPU cible ROKS],tblApplications[Cluster ROKS cible (auto)],$B6,tblApplications[Mois de bascule prevu],"&lt;="&amp;EOMONTH($A6,0),tblApplications[Inclus projection O/N],"O")</f>
        <v>16</v>
      </c>
      <c r="J6" s="24">
        <f ca="1">SUMIFS(tblApplications[RAM cible ROKS],tblApplications[Cluster ROKS cible (auto)],$B6,tblApplications[Mois de bascule prevu],"&lt;="&amp;EOMONTH($A6,0),tblApplications[Inclus projection O/N],"O")</f>
        <v>60</v>
      </c>
      <c r="K6" s="25">
        <f t="shared" ca="1" si="0"/>
        <v>16</v>
      </c>
      <c r="L6" s="25">
        <f t="shared" ca="1" si="1"/>
        <v>60</v>
      </c>
      <c r="M6" s="26">
        <f t="shared" ca="1" si="2"/>
        <v>0.33333333333333331</v>
      </c>
      <c r="N6" s="26">
        <f t="shared" ca="1" si="3"/>
        <v>0.25</v>
      </c>
      <c r="O6" s="22" t="str">
        <f ca="1">IF(E6=0,IF(K6&gt;0,"Cluster sans capacite provisionnee","n/a"),IF(OR(M6&gt;=Clusters_ROKS!$AC$5,N6&gt;=Clusters_ROKS!$AC$5),"Seuil depasse","OK"))</f>
        <v>OK</v>
      </c>
      <c r="P6" s="25">
        <f t="shared" ca="1" si="4"/>
        <v>0</v>
      </c>
      <c r="Q6" s="25">
        <f t="shared" ca="1" si="5"/>
        <v>0</v>
      </c>
      <c r="R6" s="24">
        <f ca="1">IF(AND(P6=0,Q6=0),0,IFERROR(MAX(ROUNDUP(P6/INDEX(tblClusters[vCPU / noeud (deduit)],MATCH($B6,tblClusters[Cluster],0)),0),ROUNDUP(Q6/INDEX(tblClusters[RAM / noeud - Go (deduit)],MATCH($B6,tblClusters[Cluster],0)),0)),"Flavor a definir"))</f>
        <v>0</v>
      </c>
    </row>
    <row r="7" spans="1:18" x14ac:dyDescent="0.2">
      <c r="A7" s="38">
        <v>46447</v>
      </c>
      <c r="B7" s="21" t="s">
        <v>151</v>
      </c>
      <c r="C7" s="28" t="str">
        <f>IFERROR(INDEX(tblClusters[Utilisation],MATCH($B7,tblClusters[Cluster],0)),"")</f>
        <v>Mutualise GIE France</v>
      </c>
      <c r="D7" s="28" t="str">
        <f>IFERROR(INDEX(tblClusters[Type (deduit)],MATCH($B7,tblClusters[Cluster],0)),"")</f>
        <v>Mutualise</v>
      </c>
      <c r="E7" s="24">
        <f>IFERROR(INDEX(tblClusters[CPU max (cores)],MATCH($B7,tblClusters[Cluster],0)),0)</f>
        <v>48</v>
      </c>
      <c r="F7" s="24">
        <f>IFERROR(INDEX(tblClusters[RAM max (Go)],MATCH($B7,tblClusters[Cluster],0)),0)</f>
        <v>240</v>
      </c>
      <c r="G7" s="24">
        <f>IFERROR(INDEX(tblClusters[Charge existante CPU hors migration],MATCH($B7,tblClusters[Cluster],0)),0)</f>
        <v>0</v>
      </c>
      <c r="H7" s="24">
        <f>IFERROR(INDEX(tblClusters[Charge existante RAM hors migration (Go)],MATCH($B7,tblClusters[Cluster],0)),0)</f>
        <v>0</v>
      </c>
      <c r="I7" s="24">
        <f ca="1">SUMIFS(tblApplications[CPU cible ROKS],tblApplications[Cluster ROKS cible (auto)],$B7,tblApplications[Mois de bascule prevu],"&lt;="&amp;EOMONTH($A7,0),tblApplications[Inclus projection O/N],"O")</f>
        <v>16</v>
      </c>
      <c r="J7" s="24">
        <f ca="1">SUMIFS(tblApplications[RAM cible ROKS],tblApplications[Cluster ROKS cible (auto)],$B7,tblApplications[Mois de bascule prevu],"&lt;="&amp;EOMONTH($A7,0),tblApplications[Inclus projection O/N],"O")</f>
        <v>60</v>
      </c>
      <c r="K7" s="25">
        <f t="shared" ca="1" si="0"/>
        <v>16</v>
      </c>
      <c r="L7" s="25">
        <f t="shared" ca="1" si="1"/>
        <v>60</v>
      </c>
      <c r="M7" s="26">
        <f t="shared" ca="1" si="2"/>
        <v>0.33333333333333331</v>
      </c>
      <c r="N7" s="26">
        <f t="shared" ca="1" si="3"/>
        <v>0.25</v>
      </c>
      <c r="O7" s="22" t="str">
        <f ca="1">IF(E7=0,IF(K7&gt;0,"Cluster sans capacite provisionnee","n/a"),IF(OR(M7&gt;=Clusters_ROKS!$AC$5,N7&gt;=Clusters_ROKS!$AC$5),"Seuil depasse","OK"))</f>
        <v>OK</v>
      </c>
      <c r="P7" s="25">
        <f t="shared" ca="1" si="4"/>
        <v>0</v>
      </c>
      <c r="Q7" s="25">
        <f t="shared" ca="1" si="5"/>
        <v>0</v>
      </c>
      <c r="R7" s="24">
        <f ca="1">IF(AND(P7=0,Q7=0),0,IFERROR(MAX(ROUNDUP(P7/INDEX(tblClusters[vCPU / noeud (deduit)],MATCH($B7,tblClusters[Cluster],0)),0),ROUNDUP(Q7/INDEX(tblClusters[RAM / noeud - Go (deduit)],MATCH($B7,tblClusters[Cluster],0)),0)),"Flavor a definir"))</f>
        <v>0</v>
      </c>
    </row>
    <row r="8" spans="1:18" x14ac:dyDescent="0.2">
      <c r="A8" s="38">
        <v>46478</v>
      </c>
      <c r="B8" s="21" t="s">
        <v>151</v>
      </c>
      <c r="C8" s="28" t="str">
        <f>IFERROR(INDEX(tblClusters[Utilisation],MATCH($B8,tblClusters[Cluster],0)),"")</f>
        <v>Mutualise GIE France</v>
      </c>
      <c r="D8" s="28" t="str">
        <f>IFERROR(INDEX(tblClusters[Type (deduit)],MATCH($B8,tblClusters[Cluster],0)),"")</f>
        <v>Mutualise</v>
      </c>
      <c r="E8" s="24">
        <f>IFERROR(INDEX(tblClusters[CPU max (cores)],MATCH($B8,tblClusters[Cluster],0)),0)</f>
        <v>48</v>
      </c>
      <c r="F8" s="24">
        <f>IFERROR(INDEX(tblClusters[RAM max (Go)],MATCH($B8,tblClusters[Cluster],0)),0)</f>
        <v>240</v>
      </c>
      <c r="G8" s="24">
        <f>IFERROR(INDEX(tblClusters[Charge existante CPU hors migration],MATCH($B8,tblClusters[Cluster],0)),0)</f>
        <v>0</v>
      </c>
      <c r="H8" s="24">
        <f>IFERROR(INDEX(tblClusters[Charge existante RAM hors migration (Go)],MATCH($B8,tblClusters[Cluster],0)),0)</f>
        <v>0</v>
      </c>
      <c r="I8" s="24">
        <f ca="1">SUMIFS(tblApplications[CPU cible ROKS],tblApplications[Cluster ROKS cible (auto)],$B8,tblApplications[Mois de bascule prevu],"&lt;="&amp;EOMONTH($A8,0),tblApplications[Inclus projection O/N],"O")</f>
        <v>16</v>
      </c>
      <c r="J8" s="24">
        <f ca="1">SUMIFS(tblApplications[RAM cible ROKS],tblApplications[Cluster ROKS cible (auto)],$B8,tblApplications[Mois de bascule prevu],"&lt;="&amp;EOMONTH($A8,0),tblApplications[Inclus projection O/N],"O")</f>
        <v>60</v>
      </c>
      <c r="K8" s="25">
        <f t="shared" ca="1" si="0"/>
        <v>16</v>
      </c>
      <c r="L8" s="25">
        <f t="shared" ca="1" si="1"/>
        <v>60</v>
      </c>
      <c r="M8" s="26">
        <f t="shared" ca="1" si="2"/>
        <v>0.33333333333333331</v>
      </c>
      <c r="N8" s="26">
        <f t="shared" ca="1" si="3"/>
        <v>0.25</v>
      </c>
      <c r="O8" s="22" t="str">
        <f ca="1">IF(E8=0,IF(K8&gt;0,"Cluster sans capacite provisionnee","n/a"),IF(OR(M8&gt;=Clusters_ROKS!$AC$5,N8&gt;=Clusters_ROKS!$AC$5),"Seuil depasse","OK"))</f>
        <v>OK</v>
      </c>
      <c r="P8" s="25">
        <f t="shared" ca="1" si="4"/>
        <v>0</v>
      </c>
      <c r="Q8" s="25">
        <f t="shared" ca="1" si="5"/>
        <v>0</v>
      </c>
      <c r="R8" s="24">
        <f ca="1">IF(AND(P8=0,Q8=0),0,IFERROR(MAX(ROUNDUP(P8/INDEX(tblClusters[vCPU / noeud (deduit)],MATCH($B8,tblClusters[Cluster],0)),0),ROUNDUP(Q8/INDEX(tblClusters[RAM / noeud - Go (deduit)],MATCH($B8,tblClusters[Cluster],0)),0)),"Flavor a definir"))</f>
        <v>0</v>
      </c>
    </row>
    <row r="9" spans="1:18" x14ac:dyDescent="0.2">
      <c r="A9" s="38">
        <v>46508</v>
      </c>
      <c r="B9" s="21" t="s">
        <v>151</v>
      </c>
      <c r="C9" s="28" t="str">
        <f>IFERROR(INDEX(tblClusters[Utilisation],MATCH($B9,tblClusters[Cluster],0)),"")</f>
        <v>Mutualise GIE France</v>
      </c>
      <c r="D9" s="28" t="str">
        <f>IFERROR(INDEX(tblClusters[Type (deduit)],MATCH($B9,tblClusters[Cluster],0)),"")</f>
        <v>Mutualise</v>
      </c>
      <c r="E9" s="24">
        <f>IFERROR(INDEX(tblClusters[CPU max (cores)],MATCH($B9,tblClusters[Cluster],0)),0)</f>
        <v>48</v>
      </c>
      <c r="F9" s="24">
        <f>IFERROR(INDEX(tblClusters[RAM max (Go)],MATCH($B9,tblClusters[Cluster],0)),0)</f>
        <v>240</v>
      </c>
      <c r="G9" s="24">
        <f>IFERROR(INDEX(tblClusters[Charge existante CPU hors migration],MATCH($B9,tblClusters[Cluster],0)),0)</f>
        <v>0</v>
      </c>
      <c r="H9" s="24">
        <f>IFERROR(INDEX(tblClusters[Charge existante RAM hors migration (Go)],MATCH($B9,tblClusters[Cluster],0)),0)</f>
        <v>0</v>
      </c>
      <c r="I9" s="24">
        <f ca="1">SUMIFS(tblApplications[CPU cible ROKS],tblApplications[Cluster ROKS cible (auto)],$B9,tblApplications[Mois de bascule prevu],"&lt;="&amp;EOMONTH($A9,0),tblApplications[Inclus projection O/N],"O")</f>
        <v>16</v>
      </c>
      <c r="J9" s="24">
        <f ca="1">SUMIFS(tblApplications[RAM cible ROKS],tblApplications[Cluster ROKS cible (auto)],$B9,tblApplications[Mois de bascule prevu],"&lt;="&amp;EOMONTH($A9,0),tblApplications[Inclus projection O/N],"O")</f>
        <v>60</v>
      </c>
      <c r="K9" s="25">
        <f t="shared" ca="1" si="0"/>
        <v>16</v>
      </c>
      <c r="L9" s="25">
        <f t="shared" ca="1" si="1"/>
        <v>60</v>
      </c>
      <c r="M9" s="26">
        <f t="shared" ca="1" si="2"/>
        <v>0.33333333333333331</v>
      </c>
      <c r="N9" s="26">
        <f t="shared" ca="1" si="3"/>
        <v>0.25</v>
      </c>
      <c r="O9" s="22" t="str">
        <f ca="1">IF(E9=0,IF(K9&gt;0,"Cluster sans capacite provisionnee","n/a"),IF(OR(M9&gt;=Clusters_ROKS!$AC$5,N9&gt;=Clusters_ROKS!$AC$5),"Seuil depasse","OK"))</f>
        <v>OK</v>
      </c>
      <c r="P9" s="25">
        <f t="shared" ca="1" si="4"/>
        <v>0</v>
      </c>
      <c r="Q9" s="25">
        <f t="shared" ca="1" si="5"/>
        <v>0</v>
      </c>
      <c r="R9" s="24">
        <f ca="1">IF(AND(P9=0,Q9=0),0,IFERROR(MAX(ROUNDUP(P9/INDEX(tblClusters[vCPU / noeud (deduit)],MATCH($B9,tblClusters[Cluster],0)),0),ROUNDUP(Q9/INDEX(tblClusters[RAM / noeud - Go (deduit)],MATCH($B9,tblClusters[Cluster],0)),0)),"Flavor a definir"))</f>
        <v>0</v>
      </c>
    </row>
    <row r="10" spans="1:18" x14ac:dyDescent="0.2">
      <c r="A10" s="38">
        <v>46539</v>
      </c>
      <c r="B10" s="21" t="s">
        <v>151</v>
      </c>
      <c r="C10" s="28" t="str">
        <f>IFERROR(INDEX(tblClusters[Utilisation],MATCH($B10,tblClusters[Cluster],0)),"")</f>
        <v>Mutualise GIE France</v>
      </c>
      <c r="D10" s="28" t="str">
        <f>IFERROR(INDEX(tblClusters[Type (deduit)],MATCH($B10,tblClusters[Cluster],0)),"")</f>
        <v>Mutualise</v>
      </c>
      <c r="E10" s="24">
        <f>IFERROR(INDEX(tblClusters[CPU max (cores)],MATCH($B10,tblClusters[Cluster],0)),0)</f>
        <v>48</v>
      </c>
      <c r="F10" s="24">
        <f>IFERROR(INDEX(tblClusters[RAM max (Go)],MATCH($B10,tblClusters[Cluster],0)),0)</f>
        <v>240</v>
      </c>
      <c r="G10" s="24">
        <f>IFERROR(INDEX(tblClusters[Charge existante CPU hors migration],MATCH($B10,tblClusters[Cluster],0)),0)</f>
        <v>0</v>
      </c>
      <c r="H10" s="24">
        <f>IFERROR(INDEX(tblClusters[Charge existante RAM hors migration (Go)],MATCH($B10,tblClusters[Cluster],0)),0)</f>
        <v>0</v>
      </c>
      <c r="I10" s="24">
        <f ca="1">SUMIFS(tblApplications[CPU cible ROKS],tblApplications[Cluster ROKS cible (auto)],$B10,tblApplications[Mois de bascule prevu],"&lt;="&amp;EOMONTH($A10,0),tblApplications[Inclus projection O/N],"O")</f>
        <v>16</v>
      </c>
      <c r="J10" s="24">
        <f ca="1">SUMIFS(tblApplications[RAM cible ROKS],tblApplications[Cluster ROKS cible (auto)],$B10,tblApplications[Mois de bascule prevu],"&lt;="&amp;EOMONTH($A10,0),tblApplications[Inclus projection O/N],"O")</f>
        <v>60</v>
      </c>
      <c r="K10" s="25">
        <f t="shared" ca="1" si="0"/>
        <v>16</v>
      </c>
      <c r="L10" s="25">
        <f t="shared" ca="1" si="1"/>
        <v>60</v>
      </c>
      <c r="M10" s="26">
        <f t="shared" ca="1" si="2"/>
        <v>0.33333333333333331</v>
      </c>
      <c r="N10" s="26">
        <f t="shared" ca="1" si="3"/>
        <v>0.25</v>
      </c>
      <c r="O10" s="22" t="str">
        <f ca="1">IF(E10=0,IF(K10&gt;0,"Cluster sans capacite provisionnee","n/a"),IF(OR(M10&gt;=Clusters_ROKS!$AC$5,N10&gt;=Clusters_ROKS!$AC$5),"Seuil depasse","OK"))</f>
        <v>OK</v>
      </c>
      <c r="P10" s="25">
        <f t="shared" ca="1" si="4"/>
        <v>0</v>
      </c>
      <c r="Q10" s="25">
        <f t="shared" ca="1" si="5"/>
        <v>0</v>
      </c>
      <c r="R10" s="24">
        <f ca="1">IF(AND(P10=0,Q10=0),0,IFERROR(MAX(ROUNDUP(P10/INDEX(tblClusters[vCPU / noeud (deduit)],MATCH($B10,tblClusters[Cluster],0)),0),ROUNDUP(Q10/INDEX(tblClusters[RAM / noeud - Go (deduit)],MATCH($B10,tblClusters[Cluster],0)),0)),"Flavor a definir"))</f>
        <v>0</v>
      </c>
    </row>
    <row r="11" spans="1:18" x14ac:dyDescent="0.2">
      <c r="A11" s="38">
        <v>46569</v>
      </c>
      <c r="B11" s="21" t="s">
        <v>151</v>
      </c>
      <c r="C11" s="28" t="str">
        <f>IFERROR(INDEX(tblClusters[Utilisation],MATCH($B11,tblClusters[Cluster],0)),"")</f>
        <v>Mutualise GIE France</v>
      </c>
      <c r="D11" s="28" t="str">
        <f>IFERROR(INDEX(tblClusters[Type (deduit)],MATCH($B11,tblClusters[Cluster],0)),"")</f>
        <v>Mutualise</v>
      </c>
      <c r="E11" s="24">
        <f>IFERROR(INDEX(tblClusters[CPU max (cores)],MATCH($B11,tblClusters[Cluster],0)),0)</f>
        <v>48</v>
      </c>
      <c r="F11" s="24">
        <f>IFERROR(INDEX(tblClusters[RAM max (Go)],MATCH($B11,tblClusters[Cluster],0)),0)</f>
        <v>240</v>
      </c>
      <c r="G11" s="24">
        <f>IFERROR(INDEX(tblClusters[Charge existante CPU hors migration],MATCH($B11,tblClusters[Cluster],0)),0)</f>
        <v>0</v>
      </c>
      <c r="H11" s="24">
        <f>IFERROR(INDEX(tblClusters[Charge existante RAM hors migration (Go)],MATCH($B11,tblClusters[Cluster],0)),0)</f>
        <v>0</v>
      </c>
      <c r="I11" s="24">
        <f ca="1">SUMIFS(tblApplications[CPU cible ROKS],tblApplications[Cluster ROKS cible (auto)],$B11,tblApplications[Mois de bascule prevu],"&lt;="&amp;EOMONTH($A11,0),tblApplications[Inclus projection O/N],"O")</f>
        <v>16</v>
      </c>
      <c r="J11" s="24">
        <f ca="1">SUMIFS(tblApplications[RAM cible ROKS],tblApplications[Cluster ROKS cible (auto)],$B11,tblApplications[Mois de bascule prevu],"&lt;="&amp;EOMONTH($A11,0),tblApplications[Inclus projection O/N],"O")</f>
        <v>60</v>
      </c>
      <c r="K11" s="25">
        <f t="shared" ca="1" si="0"/>
        <v>16</v>
      </c>
      <c r="L11" s="25">
        <f t="shared" ca="1" si="1"/>
        <v>60</v>
      </c>
      <c r="M11" s="26">
        <f t="shared" ca="1" si="2"/>
        <v>0.33333333333333331</v>
      </c>
      <c r="N11" s="26">
        <f t="shared" ca="1" si="3"/>
        <v>0.25</v>
      </c>
      <c r="O11" s="22" t="str">
        <f ca="1">IF(E11=0,IF(K11&gt;0,"Cluster sans capacite provisionnee","n/a"),IF(OR(M11&gt;=Clusters_ROKS!$AC$5,N11&gt;=Clusters_ROKS!$AC$5),"Seuil depasse","OK"))</f>
        <v>OK</v>
      </c>
      <c r="P11" s="25">
        <f t="shared" ca="1" si="4"/>
        <v>0</v>
      </c>
      <c r="Q11" s="25">
        <f t="shared" ca="1" si="5"/>
        <v>0</v>
      </c>
      <c r="R11" s="24">
        <f ca="1">IF(AND(P11=0,Q11=0),0,IFERROR(MAX(ROUNDUP(P11/INDEX(tblClusters[vCPU / noeud (deduit)],MATCH($B11,tblClusters[Cluster],0)),0),ROUNDUP(Q11/INDEX(tblClusters[RAM / noeud - Go (deduit)],MATCH($B11,tblClusters[Cluster],0)),0)),"Flavor a definir"))</f>
        <v>0</v>
      </c>
    </row>
    <row r="12" spans="1:18" x14ac:dyDescent="0.2">
      <c r="A12" s="38">
        <v>46600</v>
      </c>
      <c r="B12" s="21" t="s">
        <v>151</v>
      </c>
      <c r="C12" s="28" t="str">
        <f>IFERROR(INDEX(tblClusters[Utilisation],MATCH($B12,tblClusters[Cluster],0)),"")</f>
        <v>Mutualise GIE France</v>
      </c>
      <c r="D12" s="28" t="str">
        <f>IFERROR(INDEX(tblClusters[Type (deduit)],MATCH($B12,tblClusters[Cluster],0)),"")</f>
        <v>Mutualise</v>
      </c>
      <c r="E12" s="24">
        <f>IFERROR(INDEX(tblClusters[CPU max (cores)],MATCH($B12,tblClusters[Cluster],0)),0)</f>
        <v>48</v>
      </c>
      <c r="F12" s="24">
        <f>IFERROR(INDEX(tblClusters[RAM max (Go)],MATCH($B12,tblClusters[Cluster],0)),0)</f>
        <v>240</v>
      </c>
      <c r="G12" s="24">
        <f>IFERROR(INDEX(tblClusters[Charge existante CPU hors migration],MATCH($B12,tblClusters[Cluster],0)),0)</f>
        <v>0</v>
      </c>
      <c r="H12" s="24">
        <f>IFERROR(INDEX(tblClusters[Charge existante RAM hors migration (Go)],MATCH($B12,tblClusters[Cluster],0)),0)</f>
        <v>0</v>
      </c>
      <c r="I12" s="24">
        <f ca="1">SUMIFS(tblApplications[CPU cible ROKS],tblApplications[Cluster ROKS cible (auto)],$B12,tblApplications[Mois de bascule prevu],"&lt;="&amp;EOMONTH($A12,0),tblApplications[Inclus projection O/N],"O")</f>
        <v>16</v>
      </c>
      <c r="J12" s="24">
        <f ca="1">SUMIFS(tblApplications[RAM cible ROKS],tblApplications[Cluster ROKS cible (auto)],$B12,tblApplications[Mois de bascule prevu],"&lt;="&amp;EOMONTH($A12,0),tblApplications[Inclus projection O/N],"O")</f>
        <v>60</v>
      </c>
      <c r="K12" s="25">
        <f t="shared" ca="1" si="0"/>
        <v>16</v>
      </c>
      <c r="L12" s="25">
        <f t="shared" ca="1" si="1"/>
        <v>60</v>
      </c>
      <c r="M12" s="26">
        <f t="shared" ca="1" si="2"/>
        <v>0.33333333333333331</v>
      </c>
      <c r="N12" s="26">
        <f t="shared" ca="1" si="3"/>
        <v>0.25</v>
      </c>
      <c r="O12" s="22" t="str">
        <f ca="1">IF(E12=0,IF(K12&gt;0,"Cluster sans capacite provisionnee","n/a"),IF(OR(M12&gt;=Clusters_ROKS!$AC$5,N12&gt;=Clusters_ROKS!$AC$5),"Seuil depasse","OK"))</f>
        <v>OK</v>
      </c>
      <c r="P12" s="25">
        <f t="shared" ca="1" si="4"/>
        <v>0</v>
      </c>
      <c r="Q12" s="25">
        <f t="shared" ca="1" si="5"/>
        <v>0</v>
      </c>
      <c r="R12" s="24">
        <f ca="1">IF(AND(P12=0,Q12=0),0,IFERROR(MAX(ROUNDUP(P12/INDEX(tblClusters[vCPU / noeud (deduit)],MATCH($B12,tblClusters[Cluster],0)),0),ROUNDUP(Q12/INDEX(tblClusters[RAM / noeud - Go (deduit)],MATCH($B12,tblClusters[Cluster],0)),0)),"Flavor a definir"))</f>
        <v>0</v>
      </c>
    </row>
    <row r="13" spans="1:18" x14ac:dyDescent="0.2">
      <c r="A13" s="38">
        <v>46631</v>
      </c>
      <c r="B13" s="21" t="s">
        <v>151</v>
      </c>
      <c r="C13" s="28" t="str">
        <f>IFERROR(INDEX(tblClusters[Utilisation],MATCH($B13,tblClusters[Cluster],0)),"")</f>
        <v>Mutualise GIE France</v>
      </c>
      <c r="D13" s="28" t="str">
        <f>IFERROR(INDEX(tblClusters[Type (deduit)],MATCH($B13,tblClusters[Cluster],0)),"")</f>
        <v>Mutualise</v>
      </c>
      <c r="E13" s="24">
        <f>IFERROR(INDEX(tblClusters[CPU max (cores)],MATCH($B13,tblClusters[Cluster],0)),0)</f>
        <v>48</v>
      </c>
      <c r="F13" s="24">
        <f>IFERROR(INDEX(tblClusters[RAM max (Go)],MATCH($B13,tblClusters[Cluster],0)),0)</f>
        <v>240</v>
      </c>
      <c r="G13" s="24">
        <f>IFERROR(INDEX(tblClusters[Charge existante CPU hors migration],MATCH($B13,tblClusters[Cluster],0)),0)</f>
        <v>0</v>
      </c>
      <c r="H13" s="24">
        <f>IFERROR(INDEX(tblClusters[Charge existante RAM hors migration (Go)],MATCH($B13,tblClusters[Cluster],0)),0)</f>
        <v>0</v>
      </c>
      <c r="I13" s="24">
        <f ca="1">SUMIFS(tblApplications[CPU cible ROKS],tblApplications[Cluster ROKS cible (auto)],$B13,tblApplications[Mois de bascule prevu],"&lt;="&amp;EOMONTH($A13,0),tblApplications[Inclus projection O/N],"O")</f>
        <v>16</v>
      </c>
      <c r="J13" s="24">
        <f ca="1">SUMIFS(tblApplications[RAM cible ROKS],tblApplications[Cluster ROKS cible (auto)],$B13,tblApplications[Mois de bascule prevu],"&lt;="&amp;EOMONTH($A13,0),tblApplications[Inclus projection O/N],"O")</f>
        <v>60</v>
      </c>
      <c r="K13" s="25">
        <f t="shared" ca="1" si="0"/>
        <v>16</v>
      </c>
      <c r="L13" s="25">
        <f t="shared" ca="1" si="1"/>
        <v>60</v>
      </c>
      <c r="M13" s="26">
        <f t="shared" ca="1" si="2"/>
        <v>0.33333333333333331</v>
      </c>
      <c r="N13" s="26">
        <f t="shared" ca="1" si="3"/>
        <v>0.25</v>
      </c>
      <c r="O13" s="22" t="str">
        <f ca="1">IF(E13=0,IF(K13&gt;0,"Cluster sans capacite provisionnee","n/a"),IF(OR(M13&gt;=Clusters_ROKS!$AC$5,N13&gt;=Clusters_ROKS!$AC$5),"Seuil depasse","OK"))</f>
        <v>OK</v>
      </c>
      <c r="P13" s="25">
        <f t="shared" ca="1" si="4"/>
        <v>0</v>
      </c>
      <c r="Q13" s="25">
        <f t="shared" ca="1" si="5"/>
        <v>0</v>
      </c>
      <c r="R13" s="24">
        <f ca="1">IF(AND(P13=0,Q13=0),0,IFERROR(MAX(ROUNDUP(P13/INDEX(tblClusters[vCPU / noeud (deduit)],MATCH($B13,tblClusters[Cluster],0)),0),ROUNDUP(Q13/INDEX(tblClusters[RAM / noeud - Go (deduit)],MATCH($B13,tblClusters[Cluster],0)),0)),"Flavor a definir"))</f>
        <v>0</v>
      </c>
    </row>
    <row r="14" spans="1:18" x14ac:dyDescent="0.2">
      <c r="A14" s="38">
        <v>46661</v>
      </c>
      <c r="B14" s="21" t="s">
        <v>151</v>
      </c>
      <c r="C14" s="28" t="str">
        <f>IFERROR(INDEX(tblClusters[Utilisation],MATCH($B14,tblClusters[Cluster],0)),"")</f>
        <v>Mutualise GIE France</v>
      </c>
      <c r="D14" s="28" t="str">
        <f>IFERROR(INDEX(tblClusters[Type (deduit)],MATCH($B14,tblClusters[Cluster],0)),"")</f>
        <v>Mutualise</v>
      </c>
      <c r="E14" s="24">
        <f>IFERROR(INDEX(tblClusters[CPU max (cores)],MATCH($B14,tblClusters[Cluster],0)),0)</f>
        <v>48</v>
      </c>
      <c r="F14" s="24">
        <f>IFERROR(INDEX(tblClusters[RAM max (Go)],MATCH($B14,tblClusters[Cluster],0)),0)</f>
        <v>240</v>
      </c>
      <c r="G14" s="24">
        <f>IFERROR(INDEX(tblClusters[Charge existante CPU hors migration],MATCH($B14,tblClusters[Cluster],0)),0)</f>
        <v>0</v>
      </c>
      <c r="H14" s="24">
        <f>IFERROR(INDEX(tblClusters[Charge existante RAM hors migration (Go)],MATCH($B14,tblClusters[Cluster],0)),0)</f>
        <v>0</v>
      </c>
      <c r="I14" s="24">
        <f ca="1">SUMIFS(tblApplications[CPU cible ROKS],tblApplications[Cluster ROKS cible (auto)],$B14,tblApplications[Mois de bascule prevu],"&lt;="&amp;EOMONTH($A14,0),tblApplications[Inclus projection O/N],"O")</f>
        <v>16</v>
      </c>
      <c r="J14" s="24">
        <f ca="1">SUMIFS(tblApplications[RAM cible ROKS],tblApplications[Cluster ROKS cible (auto)],$B14,tblApplications[Mois de bascule prevu],"&lt;="&amp;EOMONTH($A14,0),tblApplications[Inclus projection O/N],"O")</f>
        <v>60</v>
      </c>
      <c r="K14" s="25">
        <f t="shared" ca="1" si="0"/>
        <v>16</v>
      </c>
      <c r="L14" s="25">
        <f t="shared" ca="1" si="1"/>
        <v>60</v>
      </c>
      <c r="M14" s="26">
        <f t="shared" ca="1" si="2"/>
        <v>0.33333333333333331</v>
      </c>
      <c r="N14" s="26">
        <f t="shared" ca="1" si="3"/>
        <v>0.25</v>
      </c>
      <c r="O14" s="22" t="str">
        <f ca="1">IF(E14=0,IF(K14&gt;0,"Cluster sans capacite provisionnee","n/a"),IF(OR(M14&gt;=Clusters_ROKS!$AC$5,N14&gt;=Clusters_ROKS!$AC$5),"Seuil depasse","OK"))</f>
        <v>OK</v>
      </c>
      <c r="P14" s="25">
        <f t="shared" ca="1" si="4"/>
        <v>0</v>
      </c>
      <c r="Q14" s="25">
        <f t="shared" ca="1" si="5"/>
        <v>0</v>
      </c>
      <c r="R14" s="24">
        <f ca="1">IF(AND(P14=0,Q14=0),0,IFERROR(MAX(ROUNDUP(P14/INDEX(tblClusters[vCPU / noeud (deduit)],MATCH($B14,tblClusters[Cluster],0)),0),ROUNDUP(Q14/INDEX(tblClusters[RAM / noeud - Go (deduit)],MATCH($B14,tblClusters[Cluster],0)),0)),"Flavor a definir"))</f>
        <v>0</v>
      </c>
    </row>
    <row r="15" spans="1:18" x14ac:dyDescent="0.2">
      <c r="A15" s="38">
        <v>46692</v>
      </c>
      <c r="B15" s="21" t="s">
        <v>151</v>
      </c>
      <c r="C15" s="28" t="str">
        <f>IFERROR(INDEX(tblClusters[Utilisation],MATCH($B15,tblClusters[Cluster],0)),"")</f>
        <v>Mutualise GIE France</v>
      </c>
      <c r="D15" s="28" t="str">
        <f>IFERROR(INDEX(tblClusters[Type (deduit)],MATCH($B15,tblClusters[Cluster],0)),"")</f>
        <v>Mutualise</v>
      </c>
      <c r="E15" s="24">
        <f>IFERROR(INDEX(tblClusters[CPU max (cores)],MATCH($B15,tblClusters[Cluster],0)),0)</f>
        <v>48</v>
      </c>
      <c r="F15" s="24">
        <f>IFERROR(INDEX(tblClusters[RAM max (Go)],MATCH($B15,tblClusters[Cluster],0)),0)</f>
        <v>240</v>
      </c>
      <c r="G15" s="24">
        <f>IFERROR(INDEX(tblClusters[Charge existante CPU hors migration],MATCH($B15,tblClusters[Cluster],0)),0)</f>
        <v>0</v>
      </c>
      <c r="H15" s="24">
        <f>IFERROR(INDEX(tblClusters[Charge existante RAM hors migration (Go)],MATCH($B15,tblClusters[Cluster],0)),0)</f>
        <v>0</v>
      </c>
      <c r="I15" s="24">
        <f ca="1">SUMIFS(tblApplications[CPU cible ROKS],tblApplications[Cluster ROKS cible (auto)],$B15,tblApplications[Mois de bascule prevu],"&lt;="&amp;EOMONTH($A15,0),tblApplications[Inclus projection O/N],"O")</f>
        <v>16</v>
      </c>
      <c r="J15" s="24">
        <f ca="1">SUMIFS(tblApplications[RAM cible ROKS],tblApplications[Cluster ROKS cible (auto)],$B15,tblApplications[Mois de bascule prevu],"&lt;="&amp;EOMONTH($A15,0),tblApplications[Inclus projection O/N],"O")</f>
        <v>60</v>
      </c>
      <c r="K15" s="25">
        <f t="shared" ca="1" si="0"/>
        <v>16</v>
      </c>
      <c r="L15" s="25">
        <f t="shared" ca="1" si="1"/>
        <v>60</v>
      </c>
      <c r="M15" s="26">
        <f t="shared" ca="1" si="2"/>
        <v>0.33333333333333331</v>
      </c>
      <c r="N15" s="26">
        <f t="shared" ca="1" si="3"/>
        <v>0.25</v>
      </c>
      <c r="O15" s="22" t="str">
        <f ca="1">IF(E15=0,IF(K15&gt;0,"Cluster sans capacite provisionnee","n/a"),IF(OR(M15&gt;=Clusters_ROKS!$AC$5,N15&gt;=Clusters_ROKS!$AC$5),"Seuil depasse","OK"))</f>
        <v>OK</v>
      </c>
      <c r="P15" s="25">
        <f t="shared" ca="1" si="4"/>
        <v>0</v>
      </c>
      <c r="Q15" s="25">
        <f t="shared" ca="1" si="5"/>
        <v>0</v>
      </c>
      <c r="R15" s="24">
        <f ca="1">IF(AND(P15=0,Q15=0),0,IFERROR(MAX(ROUNDUP(P15/INDEX(tblClusters[vCPU / noeud (deduit)],MATCH($B15,tblClusters[Cluster],0)),0),ROUNDUP(Q15/INDEX(tblClusters[RAM / noeud - Go (deduit)],MATCH($B15,tblClusters[Cluster],0)),0)),"Flavor a definir"))</f>
        <v>0</v>
      </c>
    </row>
    <row r="16" spans="1:18" x14ac:dyDescent="0.2">
      <c r="A16" s="38">
        <v>46722</v>
      </c>
      <c r="B16" s="21" t="s">
        <v>151</v>
      </c>
      <c r="C16" s="28" t="str">
        <f>IFERROR(INDEX(tblClusters[Utilisation],MATCH($B16,tblClusters[Cluster],0)),"")</f>
        <v>Mutualise GIE France</v>
      </c>
      <c r="D16" s="28" t="str">
        <f>IFERROR(INDEX(tblClusters[Type (deduit)],MATCH($B16,tblClusters[Cluster],0)),"")</f>
        <v>Mutualise</v>
      </c>
      <c r="E16" s="24">
        <f>IFERROR(INDEX(tblClusters[CPU max (cores)],MATCH($B16,tblClusters[Cluster],0)),0)</f>
        <v>48</v>
      </c>
      <c r="F16" s="24">
        <f>IFERROR(INDEX(tblClusters[RAM max (Go)],MATCH($B16,tblClusters[Cluster],0)),0)</f>
        <v>240</v>
      </c>
      <c r="G16" s="24">
        <f>IFERROR(INDEX(tblClusters[Charge existante CPU hors migration],MATCH($B16,tblClusters[Cluster],0)),0)</f>
        <v>0</v>
      </c>
      <c r="H16" s="24">
        <f>IFERROR(INDEX(tblClusters[Charge existante RAM hors migration (Go)],MATCH($B16,tblClusters[Cluster],0)),0)</f>
        <v>0</v>
      </c>
      <c r="I16" s="24">
        <f ca="1">SUMIFS(tblApplications[CPU cible ROKS],tblApplications[Cluster ROKS cible (auto)],$B16,tblApplications[Mois de bascule prevu],"&lt;="&amp;EOMONTH($A16,0),tblApplications[Inclus projection O/N],"O")</f>
        <v>16</v>
      </c>
      <c r="J16" s="24">
        <f ca="1">SUMIFS(tblApplications[RAM cible ROKS],tblApplications[Cluster ROKS cible (auto)],$B16,tblApplications[Mois de bascule prevu],"&lt;="&amp;EOMONTH($A16,0),tblApplications[Inclus projection O/N],"O")</f>
        <v>60</v>
      </c>
      <c r="K16" s="25">
        <f t="shared" ca="1" si="0"/>
        <v>16</v>
      </c>
      <c r="L16" s="25">
        <f t="shared" ca="1" si="1"/>
        <v>60</v>
      </c>
      <c r="M16" s="26">
        <f t="shared" ca="1" si="2"/>
        <v>0.33333333333333331</v>
      </c>
      <c r="N16" s="26">
        <f t="shared" ca="1" si="3"/>
        <v>0.25</v>
      </c>
      <c r="O16" s="22" t="str">
        <f ca="1">IF(E16=0,IF(K16&gt;0,"Cluster sans capacite provisionnee","n/a"),IF(OR(M16&gt;=Clusters_ROKS!$AC$5,N16&gt;=Clusters_ROKS!$AC$5),"Seuil depasse","OK"))</f>
        <v>OK</v>
      </c>
      <c r="P16" s="25">
        <f t="shared" ca="1" si="4"/>
        <v>0</v>
      </c>
      <c r="Q16" s="25">
        <f t="shared" ca="1" si="5"/>
        <v>0</v>
      </c>
      <c r="R16" s="24">
        <f ca="1">IF(AND(P16=0,Q16=0),0,IFERROR(MAX(ROUNDUP(P16/INDEX(tblClusters[vCPU / noeud (deduit)],MATCH($B16,tblClusters[Cluster],0)),0),ROUNDUP(Q16/INDEX(tblClusters[RAM / noeud - Go (deduit)],MATCH($B16,tblClusters[Cluster],0)),0)),"Flavor a definir"))</f>
        <v>0</v>
      </c>
    </row>
    <row r="17" spans="1:18" x14ac:dyDescent="0.2">
      <c r="A17" s="38">
        <v>46388</v>
      </c>
      <c r="B17" s="21" t="s">
        <v>156</v>
      </c>
      <c r="C17" s="28" t="str">
        <f>IFERROR(INDEX(tblClusters[Utilisation],MATCH($B17,tblClusters[Cluster],0)),"")</f>
        <v>Mutualise GIE France</v>
      </c>
      <c r="D17" s="28" t="str">
        <f>IFERROR(INDEX(tblClusters[Type (deduit)],MATCH($B17,tblClusters[Cluster],0)),"")</f>
        <v>Mutualise</v>
      </c>
      <c r="E17" s="24">
        <f>IFERROR(INDEX(tblClusters[CPU max (cores)],MATCH($B17,tblClusters[Cluster],0)),0)</f>
        <v>192</v>
      </c>
      <c r="F17" s="24">
        <f>IFERROR(INDEX(tblClusters[RAM max (Go)],MATCH($B17,tblClusters[Cluster],0)),0)</f>
        <v>480</v>
      </c>
      <c r="G17" s="24">
        <f>IFERROR(INDEX(tblClusters[Charge existante CPU hors migration],MATCH($B17,tblClusters[Cluster],0)),0)</f>
        <v>0</v>
      </c>
      <c r="H17" s="24">
        <f>IFERROR(INDEX(tblClusters[Charge existante RAM hors migration (Go)],MATCH($B17,tblClusters[Cluster],0)),0)</f>
        <v>0</v>
      </c>
      <c r="I17" s="24">
        <f ca="1">SUMIFS(tblApplications[CPU cible ROKS],tblApplications[Cluster ROKS cible (auto)],$B17,tblApplications[Mois de bascule prevu],"&lt;="&amp;EOMONTH($A17,0),tblApplications[Inclus projection O/N],"O")</f>
        <v>2</v>
      </c>
      <c r="J17" s="24">
        <f ca="1">SUMIFS(tblApplications[RAM cible ROKS],tblApplications[Cluster ROKS cible (auto)],$B17,tblApplications[Mois de bascule prevu],"&lt;="&amp;EOMONTH($A17,0),tblApplications[Inclus projection O/N],"O")</f>
        <v>5</v>
      </c>
      <c r="K17" s="25">
        <f t="shared" ca="1" si="0"/>
        <v>2</v>
      </c>
      <c r="L17" s="25">
        <f t="shared" ca="1" si="1"/>
        <v>5</v>
      </c>
      <c r="M17" s="26">
        <f t="shared" ca="1" si="2"/>
        <v>1.0416666666666666E-2</v>
      </c>
      <c r="N17" s="26">
        <f t="shared" ca="1" si="3"/>
        <v>1.0416666666666666E-2</v>
      </c>
      <c r="O17" s="22" t="str">
        <f ca="1">IF(E17=0,IF(K17&gt;0,"Cluster sans capacite provisionnee","n/a"),IF(OR(M17&gt;=Clusters_ROKS!$AC$5,N17&gt;=Clusters_ROKS!$AC$5),"Seuil depasse","OK"))</f>
        <v>OK</v>
      </c>
      <c r="P17" s="25">
        <f t="shared" ca="1" si="4"/>
        <v>0</v>
      </c>
      <c r="Q17" s="25">
        <f t="shared" ca="1" si="5"/>
        <v>0</v>
      </c>
      <c r="R17" s="24">
        <f ca="1">IF(AND(P17=0,Q17=0),0,IFERROR(MAX(ROUNDUP(P17/INDEX(tblClusters[vCPU / noeud (deduit)],MATCH($B17,tblClusters[Cluster],0)),0),ROUNDUP(Q17/INDEX(tblClusters[RAM / noeud - Go (deduit)],MATCH($B17,tblClusters[Cluster],0)),0)),"Flavor a definir"))</f>
        <v>0</v>
      </c>
    </row>
    <row r="18" spans="1:18" x14ac:dyDescent="0.2">
      <c r="A18" s="38">
        <v>46419</v>
      </c>
      <c r="B18" s="21" t="s">
        <v>156</v>
      </c>
      <c r="C18" s="28" t="str">
        <f>IFERROR(INDEX(tblClusters[Utilisation],MATCH($B18,tblClusters[Cluster],0)),"")</f>
        <v>Mutualise GIE France</v>
      </c>
      <c r="D18" s="28" t="str">
        <f>IFERROR(INDEX(tblClusters[Type (deduit)],MATCH($B18,tblClusters[Cluster],0)),"")</f>
        <v>Mutualise</v>
      </c>
      <c r="E18" s="24">
        <f>IFERROR(INDEX(tblClusters[CPU max (cores)],MATCH($B18,tblClusters[Cluster],0)),0)</f>
        <v>192</v>
      </c>
      <c r="F18" s="24">
        <f>IFERROR(INDEX(tblClusters[RAM max (Go)],MATCH($B18,tblClusters[Cluster],0)),0)</f>
        <v>480</v>
      </c>
      <c r="G18" s="24">
        <f>IFERROR(INDEX(tblClusters[Charge existante CPU hors migration],MATCH($B18,tblClusters[Cluster],0)),0)</f>
        <v>0</v>
      </c>
      <c r="H18" s="24">
        <f>IFERROR(INDEX(tblClusters[Charge existante RAM hors migration (Go)],MATCH($B18,tblClusters[Cluster],0)),0)</f>
        <v>0</v>
      </c>
      <c r="I18" s="24">
        <f ca="1">SUMIFS(tblApplications[CPU cible ROKS],tblApplications[Cluster ROKS cible (auto)],$B18,tblApplications[Mois de bascule prevu],"&lt;="&amp;EOMONTH($A18,0),tblApplications[Inclus projection O/N],"O")</f>
        <v>6</v>
      </c>
      <c r="J18" s="24">
        <f ca="1">SUMIFS(tblApplications[RAM cible ROKS],tblApplications[Cluster ROKS cible (auto)],$B18,tblApplications[Mois de bascule prevu],"&lt;="&amp;EOMONTH($A18,0),tblApplications[Inclus projection O/N],"O")</f>
        <v>20</v>
      </c>
      <c r="K18" s="25">
        <f t="shared" ca="1" si="0"/>
        <v>6</v>
      </c>
      <c r="L18" s="25">
        <f t="shared" ca="1" si="1"/>
        <v>20</v>
      </c>
      <c r="M18" s="26">
        <f t="shared" ca="1" si="2"/>
        <v>3.125E-2</v>
      </c>
      <c r="N18" s="26">
        <f t="shared" ca="1" si="3"/>
        <v>4.1666666666666664E-2</v>
      </c>
      <c r="O18" s="22" t="str">
        <f ca="1">IF(E18=0,IF(K18&gt;0,"Cluster sans capacite provisionnee","n/a"),IF(OR(M18&gt;=Clusters_ROKS!$AC$5,N18&gt;=Clusters_ROKS!$AC$5),"Seuil depasse","OK"))</f>
        <v>OK</v>
      </c>
      <c r="P18" s="25">
        <f t="shared" ca="1" si="4"/>
        <v>0</v>
      </c>
      <c r="Q18" s="25">
        <f t="shared" ca="1" si="5"/>
        <v>0</v>
      </c>
      <c r="R18" s="24">
        <f ca="1">IF(AND(P18=0,Q18=0),0,IFERROR(MAX(ROUNDUP(P18/INDEX(tblClusters[vCPU / noeud (deduit)],MATCH($B18,tblClusters[Cluster],0)),0),ROUNDUP(Q18/INDEX(tblClusters[RAM / noeud - Go (deduit)],MATCH($B18,tblClusters[Cluster],0)),0)),"Flavor a definir"))</f>
        <v>0</v>
      </c>
    </row>
    <row r="19" spans="1:18" x14ac:dyDescent="0.2">
      <c r="A19" s="38">
        <v>46447</v>
      </c>
      <c r="B19" s="21" t="s">
        <v>156</v>
      </c>
      <c r="C19" s="28" t="str">
        <f>IFERROR(INDEX(tblClusters[Utilisation],MATCH($B19,tblClusters[Cluster],0)),"")</f>
        <v>Mutualise GIE France</v>
      </c>
      <c r="D19" s="28" t="str">
        <f>IFERROR(INDEX(tblClusters[Type (deduit)],MATCH($B19,tblClusters[Cluster],0)),"")</f>
        <v>Mutualise</v>
      </c>
      <c r="E19" s="24">
        <f>IFERROR(INDEX(tblClusters[CPU max (cores)],MATCH($B19,tblClusters[Cluster],0)),0)</f>
        <v>192</v>
      </c>
      <c r="F19" s="24">
        <f>IFERROR(INDEX(tblClusters[RAM max (Go)],MATCH($B19,tblClusters[Cluster],0)),0)</f>
        <v>480</v>
      </c>
      <c r="G19" s="24">
        <f>IFERROR(INDEX(tblClusters[Charge existante CPU hors migration],MATCH($B19,tblClusters[Cluster],0)),0)</f>
        <v>0</v>
      </c>
      <c r="H19" s="24">
        <f>IFERROR(INDEX(tblClusters[Charge existante RAM hors migration (Go)],MATCH($B19,tblClusters[Cluster],0)),0)</f>
        <v>0</v>
      </c>
      <c r="I19" s="24">
        <f ca="1">SUMIFS(tblApplications[CPU cible ROKS],tblApplications[Cluster ROKS cible (auto)],$B19,tblApplications[Mois de bascule prevu],"&lt;="&amp;EOMONTH($A19,0),tblApplications[Inclus projection O/N],"O")</f>
        <v>9</v>
      </c>
      <c r="J19" s="24">
        <f ca="1">SUMIFS(tblApplications[RAM cible ROKS],tblApplications[Cluster ROKS cible (auto)],$B19,tblApplications[Mois de bascule prevu],"&lt;="&amp;EOMONTH($A19,0),tblApplications[Inclus projection O/N],"O")</f>
        <v>30</v>
      </c>
      <c r="K19" s="25">
        <f t="shared" ca="1" si="0"/>
        <v>9</v>
      </c>
      <c r="L19" s="25">
        <f t="shared" ca="1" si="1"/>
        <v>30</v>
      </c>
      <c r="M19" s="26">
        <f t="shared" ca="1" si="2"/>
        <v>4.6875E-2</v>
      </c>
      <c r="N19" s="26">
        <f t="shared" ca="1" si="3"/>
        <v>6.25E-2</v>
      </c>
      <c r="O19" s="22" t="str">
        <f ca="1">IF(E19=0,IF(K19&gt;0,"Cluster sans capacite provisionnee","n/a"),IF(OR(M19&gt;=Clusters_ROKS!$AC$5,N19&gt;=Clusters_ROKS!$AC$5),"Seuil depasse","OK"))</f>
        <v>OK</v>
      </c>
      <c r="P19" s="25">
        <f t="shared" ca="1" si="4"/>
        <v>0</v>
      </c>
      <c r="Q19" s="25">
        <f t="shared" ca="1" si="5"/>
        <v>0</v>
      </c>
      <c r="R19" s="24">
        <f ca="1">IF(AND(P19=0,Q19=0),0,IFERROR(MAX(ROUNDUP(P19/INDEX(tblClusters[vCPU / noeud (deduit)],MATCH($B19,tblClusters[Cluster],0)),0),ROUNDUP(Q19/INDEX(tblClusters[RAM / noeud - Go (deduit)],MATCH($B19,tblClusters[Cluster],0)),0)),"Flavor a definir"))</f>
        <v>0</v>
      </c>
    </row>
    <row r="20" spans="1:18" x14ac:dyDescent="0.2">
      <c r="A20" s="38">
        <v>46478</v>
      </c>
      <c r="B20" s="21" t="s">
        <v>156</v>
      </c>
      <c r="C20" s="28" t="str">
        <f>IFERROR(INDEX(tblClusters[Utilisation],MATCH($B20,tblClusters[Cluster],0)),"")</f>
        <v>Mutualise GIE France</v>
      </c>
      <c r="D20" s="28" t="str">
        <f>IFERROR(INDEX(tblClusters[Type (deduit)],MATCH($B20,tblClusters[Cluster],0)),"")</f>
        <v>Mutualise</v>
      </c>
      <c r="E20" s="24">
        <f>IFERROR(INDEX(tblClusters[CPU max (cores)],MATCH($B20,tblClusters[Cluster],0)),0)</f>
        <v>192</v>
      </c>
      <c r="F20" s="24">
        <f>IFERROR(INDEX(tblClusters[RAM max (Go)],MATCH($B20,tblClusters[Cluster],0)),0)</f>
        <v>480</v>
      </c>
      <c r="G20" s="24">
        <f>IFERROR(INDEX(tblClusters[Charge existante CPU hors migration],MATCH($B20,tblClusters[Cluster],0)),0)</f>
        <v>0</v>
      </c>
      <c r="H20" s="24">
        <f>IFERROR(INDEX(tblClusters[Charge existante RAM hors migration (Go)],MATCH($B20,tblClusters[Cluster],0)),0)</f>
        <v>0</v>
      </c>
      <c r="I20" s="24">
        <f ca="1">SUMIFS(tblApplications[CPU cible ROKS],tblApplications[Cluster ROKS cible (auto)],$B20,tblApplications[Mois de bascule prevu],"&lt;="&amp;EOMONTH($A20,0),tblApplications[Inclus projection O/N],"O")</f>
        <v>9</v>
      </c>
      <c r="J20" s="24">
        <f ca="1">SUMIFS(tblApplications[RAM cible ROKS],tblApplications[Cluster ROKS cible (auto)],$B20,tblApplications[Mois de bascule prevu],"&lt;="&amp;EOMONTH($A20,0),tblApplications[Inclus projection O/N],"O")</f>
        <v>30</v>
      </c>
      <c r="K20" s="25">
        <f t="shared" ca="1" si="0"/>
        <v>9</v>
      </c>
      <c r="L20" s="25">
        <f t="shared" ca="1" si="1"/>
        <v>30</v>
      </c>
      <c r="M20" s="26">
        <f t="shared" ca="1" si="2"/>
        <v>4.6875E-2</v>
      </c>
      <c r="N20" s="26">
        <f t="shared" ca="1" si="3"/>
        <v>6.25E-2</v>
      </c>
      <c r="O20" s="22" t="str">
        <f ca="1">IF(E20=0,IF(K20&gt;0,"Cluster sans capacite provisionnee","n/a"),IF(OR(M20&gt;=Clusters_ROKS!$AC$5,N20&gt;=Clusters_ROKS!$AC$5),"Seuil depasse","OK"))</f>
        <v>OK</v>
      </c>
      <c r="P20" s="25">
        <f t="shared" ca="1" si="4"/>
        <v>0</v>
      </c>
      <c r="Q20" s="25">
        <f t="shared" ca="1" si="5"/>
        <v>0</v>
      </c>
      <c r="R20" s="24">
        <f ca="1">IF(AND(P20=0,Q20=0),0,IFERROR(MAX(ROUNDUP(P20/INDEX(tblClusters[vCPU / noeud (deduit)],MATCH($B20,tblClusters[Cluster],0)),0),ROUNDUP(Q20/INDEX(tblClusters[RAM / noeud - Go (deduit)],MATCH($B20,tblClusters[Cluster],0)),0)),"Flavor a definir"))</f>
        <v>0</v>
      </c>
    </row>
    <row r="21" spans="1:18" x14ac:dyDescent="0.2">
      <c r="A21" s="38">
        <v>46508</v>
      </c>
      <c r="B21" s="21" t="s">
        <v>156</v>
      </c>
      <c r="C21" s="28" t="str">
        <f>IFERROR(INDEX(tblClusters[Utilisation],MATCH($B21,tblClusters[Cluster],0)),"")</f>
        <v>Mutualise GIE France</v>
      </c>
      <c r="D21" s="28" t="str">
        <f>IFERROR(INDEX(tblClusters[Type (deduit)],MATCH($B21,tblClusters[Cluster],0)),"")</f>
        <v>Mutualise</v>
      </c>
      <c r="E21" s="24">
        <f>IFERROR(INDEX(tblClusters[CPU max (cores)],MATCH($B21,tblClusters[Cluster],0)),0)</f>
        <v>192</v>
      </c>
      <c r="F21" s="24">
        <f>IFERROR(INDEX(tblClusters[RAM max (Go)],MATCH($B21,tblClusters[Cluster],0)),0)</f>
        <v>480</v>
      </c>
      <c r="G21" s="24">
        <f>IFERROR(INDEX(tblClusters[Charge existante CPU hors migration],MATCH($B21,tblClusters[Cluster],0)),0)</f>
        <v>0</v>
      </c>
      <c r="H21" s="24">
        <f>IFERROR(INDEX(tblClusters[Charge existante RAM hors migration (Go)],MATCH($B21,tblClusters[Cluster],0)),0)</f>
        <v>0</v>
      </c>
      <c r="I21" s="24">
        <f ca="1">SUMIFS(tblApplications[CPU cible ROKS],tblApplications[Cluster ROKS cible (auto)],$B21,tblApplications[Mois de bascule prevu],"&lt;="&amp;EOMONTH($A21,0),tblApplications[Inclus projection O/N],"O")</f>
        <v>9</v>
      </c>
      <c r="J21" s="24">
        <f ca="1">SUMIFS(tblApplications[RAM cible ROKS],tblApplications[Cluster ROKS cible (auto)],$B21,tblApplications[Mois de bascule prevu],"&lt;="&amp;EOMONTH($A21,0),tblApplications[Inclus projection O/N],"O")</f>
        <v>30</v>
      </c>
      <c r="K21" s="25">
        <f t="shared" ca="1" si="0"/>
        <v>9</v>
      </c>
      <c r="L21" s="25">
        <f t="shared" ca="1" si="1"/>
        <v>30</v>
      </c>
      <c r="M21" s="26">
        <f t="shared" ca="1" si="2"/>
        <v>4.6875E-2</v>
      </c>
      <c r="N21" s="26">
        <f t="shared" ca="1" si="3"/>
        <v>6.25E-2</v>
      </c>
      <c r="O21" s="22" t="str">
        <f ca="1">IF(E21=0,IF(K21&gt;0,"Cluster sans capacite provisionnee","n/a"),IF(OR(M21&gt;=Clusters_ROKS!$AC$5,N21&gt;=Clusters_ROKS!$AC$5),"Seuil depasse","OK"))</f>
        <v>OK</v>
      </c>
      <c r="P21" s="25">
        <f t="shared" ca="1" si="4"/>
        <v>0</v>
      </c>
      <c r="Q21" s="25">
        <f t="shared" ca="1" si="5"/>
        <v>0</v>
      </c>
      <c r="R21" s="24">
        <f ca="1">IF(AND(P21=0,Q21=0),0,IFERROR(MAX(ROUNDUP(P21/INDEX(tblClusters[vCPU / noeud (deduit)],MATCH($B21,tblClusters[Cluster],0)),0),ROUNDUP(Q21/INDEX(tblClusters[RAM / noeud - Go (deduit)],MATCH($B21,tblClusters[Cluster],0)),0)),"Flavor a definir"))</f>
        <v>0</v>
      </c>
    </row>
    <row r="22" spans="1:18" x14ac:dyDescent="0.2">
      <c r="A22" s="38">
        <v>46539</v>
      </c>
      <c r="B22" s="21" t="s">
        <v>156</v>
      </c>
      <c r="C22" s="28" t="str">
        <f>IFERROR(INDEX(tblClusters[Utilisation],MATCH($B22,tblClusters[Cluster],0)),"")</f>
        <v>Mutualise GIE France</v>
      </c>
      <c r="D22" s="28" t="str">
        <f>IFERROR(INDEX(tblClusters[Type (deduit)],MATCH($B22,tblClusters[Cluster],0)),"")</f>
        <v>Mutualise</v>
      </c>
      <c r="E22" s="24">
        <f>IFERROR(INDEX(tblClusters[CPU max (cores)],MATCH($B22,tblClusters[Cluster],0)),0)</f>
        <v>192</v>
      </c>
      <c r="F22" s="24">
        <f>IFERROR(INDEX(tblClusters[RAM max (Go)],MATCH($B22,tblClusters[Cluster],0)),0)</f>
        <v>480</v>
      </c>
      <c r="G22" s="24">
        <f>IFERROR(INDEX(tblClusters[Charge existante CPU hors migration],MATCH($B22,tblClusters[Cluster],0)),0)</f>
        <v>0</v>
      </c>
      <c r="H22" s="24">
        <f>IFERROR(INDEX(tblClusters[Charge existante RAM hors migration (Go)],MATCH($B22,tblClusters[Cluster],0)),0)</f>
        <v>0</v>
      </c>
      <c r="I22" s="24">
        <f ca="1">SUMIFS(tblApplications[CPU cible ROKS],tblApplications[Cluster ROKS cible (auto)],$B22,tblApplications[Mois de bascule prevu],"&lt;="&amp;EOMONTH($A22,0),tblApplications[Inclus projection O/N],"O")</f>
        <v>19</v>
      </c>
      <c r="J22" s="24">
        <f ca="1">SUMIFS(tblApplications[RAM cible ROKS],tblApplications[Cluster ROKS cible (auto)],$B22,tblApplications[Mois de bascule prevu],"&lt;="&amp;EOMONTH($A22,0),tblApplications[Inclus projection O/N],"O")</f>
        <v>70</v>
      </c>
      <c r="K22" s="25">
        <f t="shared" ca="1" si="0"/>
        <v>19</v>
      </c>
      <c r="L22" s="25">
        <f t="shared" ca="1" si="1"/>
        <v>70</v>
      </c>
      <c r="M22" s="26">
        <f t="shared" ca="1" si="2"/>
        <v>9.8958333333333329E-2</v>
      </c>
      <c r="N22" s="26">
        <f t="shared" ca="1" si="3"/>
        <v>0.14583333333333334</v>
      </c>
      <c r="O22" s="22" t="str">
        <f ca="1">IF(E22=0,IF(K22&gt;0,"Cluster sans capacite provisionnee","n/a"),IF(OR(M22&gt;=Clusters_ROKS!$AC$5,N22&gt;=Clusters_ROKS!$AC$5),"Seuil depasse","OK"))</f>
        <v>OK</v>
      </c>
      <c r="P22" s="25">
        <f t="shared" ca="1" si="4"/>
        <v>0</v>
      </c>
      <c r="Q22" s="25">
        <f t="shared" ca="1" si="5"/>
        <v>0</v>
      </c>
      <c r="R22" s="24">
        <f ca="1">IF(AND(P22=0,Q22=0),0,IFERROR(MAX(ROUNDUP(P22/INDEX(tblClusters[vCPU / noeud (deduit)],MATCH($B22,tblClusters[Cluster],0)),0),ROUNDUP(Q22/INDEX(tblClusters[RAM / noeud - Go (deduit)],MATCH($B22,tblClusters[Cluster],0)),0)),"Flavor a definir"))</f>
        <v>0</v>
      </c>
    </row>
    <row r="23" spans="1:18" x14ac:dyDescent="0.2">
      <c r="A23" s="38">
        <v>46569</v>
      </c>
      <c r="B23" s="21" t="s">
        <v>156</v>
      </c>
      <c r="C23" s="28" t="str">
        <f>IFERROR(INDEX(tblClusters[Utilisation],MATCH($B23,tblClusters[Cluster],0)),"")</f>
        <v>Mutualise GIE France</v>
      </c>
      <c r="D23" s="28" t="str">
        <f>IFERROR(INDEX(tblClusters[Type (deduit)],MATCH($B23,tblClusters[Cluster],0)),"")</f>
        <v>Mutualise</v>
      </c>
      <c r="E23" s="24">
        <f>IFERROR(INDEX(tblClusters[CPU max (cores)],MATCH($B23,tblClusters[Cluster],0)),0)</f>
        <v>192</v>
      </c>
      <c r="F23" s="24">
        <f>IFERROR(INDEX(tblClusters[RAM max (Go)],MATCH($B23,tblClusters[Cluster],0)),0)</f>
        <v>480</v>
      </c>
      <c r="G23" s="24">
        <f>IFERROR(INDEX(tblClusters[Charge existante CPU hors migration],MATCH($B23,tblClusters[Cluster],0)),0)</f>
        <v>0</v>
      </c>
      <c r="H23" s="24">
        <f>IFERROR(INDEX(tblClusters[Charge existante RAM hors migration (Go)],MATCH($B23,tblClusters[Cluster],0)),0)</f>
        <v>0</v>
      </c>
      <c r="I23" s="24">
        <f ca="1">SUMIFS(tblApplications[CPU cible ROKS],tblApplications[Cluster ROKS cible (auto)],$B23,tblApplications[Mois de bascule prevu],"&lt;="&amp;EOMONTH($A23,0),tblApplications[Inclus projection O/N],"O")</f>
        <v>19</v>
      </c>
      <c r="J23" s="24">
        <f ca="1">SUMIFS(tblApplications[RAM cible ROKS],tblApplications[Cluster ROKS cible (auto)],$B23,tblApplications[Mois de bascule prevu],"&lt;="&amp;EOMONTH($A23,0),tblApplications[Inclus projection O/N],"O")</f>
        <v>70</v>
      </c>
      <c r="K23" s="25">
        <f t="shared" ca="1" si="0"/>
        <v>19</v>
      </c>
      <c r="L23" s="25">
        <f t="shared" ca="1" si="1"/>
        <v>70</v>
      </c>
      <c r="M23" s="26">
        <f t="shared" ca="1" si="2"/>
        <v>9.8958333333333329E-2</v>
      </c>
      <c r="N23" s="26">
        <f t="shared" ca="1" si="3"/>
        <v>0.14583333333333334</v>
      </c>
      <c r="O23" s="22" t="str">
        <f ca="1">IF(E23=0,IF(K23&gt;0,"Cluster sans capacite provisionnee","n/a"),IF(OR(M23&gt;=Clusters_ROKS!$AC$5,N23&gt;=Clusters_ROKS!$AC$5),"Seuil depasse","OK"))</f>
        <v>OK</v>
      </c>
      <c r="P23" s="25">
        <f t="shared" ca="1" si="4"/>
        <v>0</v>
      </c>
      <c r="Q23" s="25">
        <f t="shared" ca="1" si="5"/>
        <v>0</v>
      </c>
      <c r="R23" s="24">
        <f ca="1">IF(AND(P23=0,Q23=0),0,IFERROR(MAX(ROUNDUP(P23/INDEX(tblClusters[vCPU / noeud (deduit)],MATCH($B23,tblClusters[Cluster],0)),0),ROUNDUP(Q23/INDEX(tblClusters[RAM / noeud - Go (deduit)],MATCH($B23,tblClusters[Cluster],0)),0)),"Flavor a definir"))</f>
        <v>0</v>
      </c>
    </row>
    <row r="24" spans="1:18" x14ac:dyDescent="0.2">
      <c r="A24" s="38">
        <v>46600</v>
      </c>
      <c r="B24" s="21" t="s">
        <v>156</v>
      </c>
      <c r="C24" s="28" t="str">
        <f>IFERROR(INDEX(tblClusters[Utilisation],MATCH($B24,tblClusters[Cluster],0)),"")</f>
        <v>Mutualise GIE France</v>
      </c>
      <c r="D24" s="28" t="str">
        <f>IFERROR(INDEX(tblClusters[Type (deduit)],MATCH($B24,tblClusters[Cluster],0)),"")</f>
        <v>Mutualise</v>
      </c>
      <c r="E24" s="24">
        <f>IFERROR(INDEX(tblClusters[CPU max (cores)],MATCH($B24,tblClusters[Cluster],0)),0)</f>
        <v>192</v>
      </c>
      <c r="F24" s="24">
        <f>IFERROR(INDEX(tblClusters[RAM max (Go)],MATCH($B24,tblClusters[Cluster],0)),0)</f>
        <v>480</v>
      </c>
      <c r="G24" s="24">
        <f>IFERROR(INDEX(tblClusters[Charge existante CPU hors migration],MATCH($B24,tblClusters[Cluster],0)),0)</f>
        <v>0</v>
      </c>
      <c r="H24" s="24">
        <f>IFERROR(INDEX(tblClusters[Charge existante RAM hors migration (Go)],MATCH($B24,tblClusters[Cluster],0)),0)</f>
        <v>0</v>
      </c>
      <c r="I24" s="24">
        <f ca="1">SUMIFS(tblApplications[CPU cible ROKS],tblApplications[Cluster ROKS cible (auto)],$B24,tblApplications[Mois de bascule prevu],"&lt;="&amp;EOMONTH($A24,0),tblApplications[Inclus projection O/N],"O")</f>
        <v>19</v>
      </c>
      <c r="J24" s="24">
        <f ca="1">SUMIFS(tblApplications[RAM cible ROKS],tblApplications[Cluster ROKS cible (auto)],$B24,tblApplications[Mois de bascule prevu],"&lt;="&amp;EOMONTH($A24,0),tblApplications[Inclus projection O/N],"O")</f>
        <v>70</v>
      </c>
      <c r="K24" s="25">
        <f t="shared" ca="1" si="0"/>
        <v>19</v>
      </c>
      <c r="L24" s="25">
        <f t="shared" ca="1" si="1"/>
        <v>70</v>
      </c>
      <c r="M24" s="26">
        <f t="shared" ca="1" si="2"/>
        <v>9.8958333333333329E-2</v>
      </c>
      <c r="N24" s="26">
        <f t="shared" ca="1" si="3"/>
        <v>0.14583333333333334</v>
      </c>
      <c r="O24" s="22" t="str">
        <f ca="1">IF(E24=0,IF(K24&gt;0,"Cluster sans capacite provisionnee","n/a"),IF(OR(M24&gt;=Clusters_ROKS!$AC$5,N24&gt;=Clusters_ROKS!$AC$5),"Seuil depasse","OK"))</f>
        <v>OK</v>
      </c>
      <c r="P24" s="25">
        <f t="shared" ca="1" si="4"/>
        <v>0</v>
      </c>
      <c r="Q24" s="25">
        <f t="shared" ca="1" si="5"/>
        <v>0</v>
      </c>
      <c r="R24" s="24">
        <f ca="1">IF(AND(P24=0,Q24=0),0,IFERROR(MAX(ROUNDUP(P24/INDEX(tblClusters[vCPU / noeud (deduit)],MATCH($B24,tblClusters[Cluster],0)),0),ROUNDUP(Q24/INDEX(tblClusters[RAM / noeud - Go (deduit)],MATCH($B24,tblClusters[Cluster],0)),0)),"Flavor a definir"))</f>
        <v>0</v>
      </c>
    </row>
    <row r="25" spans="1:18" x14ac:dyDescent="0.2">
      <c r="A25" s="38">
        <v>46631</v>
      </c>
      <c r="B25" s="21" t="s">
        <v>156</v>
      </c>
      <c r="C25" s="28" t="str">
        <f>IFERROR(INDEX(tblClusters[Utilisation],MATCH($B25,tblClusters[Cluster],0)),"")</f>
        <v>Mutualise GIE France</v>
      </c>
      <c r="D25" s="28" t="str">
        <f>IFERROR(INDEX(tblClusters[Type (deduit)],MATCH($B25,tblClusters[Cluster],0)),"")</f>
        <v>Mutualise</v>
      </c>
      <c r="E25" s="24">
        <f>IFERROR(INDEX(tblClusters[CPU max (cores)],MATCH($B25,tblClusters[Cluster],0)),0)</f>
        <v>192</v>
      </c>
      <c r="F25" s="24">
        <f>IFERROR(INDEX(tblClusters[RAM max (Go)],MATCH($B25,tblClusters[Cluster],0)),0)</f>
        <v>480</v>
      </c>
      <c r="G25" s="24">
        <f>IFERROR(INDEX(tblClusters[Charge existante CPU hors migration],MATCH($B25,tblClusters[Cluster],0)),0)</f>
        <v>0</v>
      </c>
      <c r="H25" s="24">
        <f>IFERROR(INDEX(tblClusters[Charge existante RAM hors migration (Go)],MATCH($B25,tblClusters[Cluster],0)),0)</f>
        <v>0</v>
      </c>
      <c r="I25" s="24">
        <f ca="1">SUMIFS(tblApplications[CPU cible ROKS],tblApplications[Cluster ROKS cible (auto)],$B25,tblApplications[Mois de bascule prevu],"&lt;="&amp;EOMONTH($A25,0),tblApplications[Inclus projection O/N],"O")</f>
        <v>19</v>
      </c>
      <c r="J25" s="24">
        <f ca="1">SUMIFS(tblApplications[RAM cible ROKS],tblApplications[Cluster ROKS cible (auto)],$B25,tblApplications[Mois de bascule prevu],"&lt;="&amp;EOMONTH($A25,0),tblApplications[Inclus projection O/N],"O")</f>
        <v>70</v>
      </c>
      <c r="K25" s="25">
        <f t="shared" ca="1" si="0"/>
        <v>19</v>
      </c>
      <c r="L25" s="25">
        <f t="shared" ca="1" si="1"/>
        <v>70</v>
      </c>
      <c r="M25" s="26">
        <f t="shared" ca="1" si="2"/>
        <v>9.8958333333333329E-2</v>
      </c>
      <c r="N25" s="26">
        <f t="shared" ca="1" si="3"/>
        <v>0.14583333333333334</v>
      </c>
      <c r="O25" s="22" t="str">
        <f ca="1">IF(E25=0,IF(K25&gt;0,"Cluster sans capacite provisionnee","n/a"),IF(OR(M25&gt;=Clusters_ROKS!$AC$5,N25&gt;=Clusters_ROKS!$AC$5),"Seuil depasse","OK"))</f>
        <v>OK</v>
      </c>
      <c r="P25" s="25">
        <f t="shared" ca="1" si="4"/>
        <v>0</v>
      </c>
      <c r="Q25" s="25">
        <f t="shared" ca="1" si="5"/>
        <v>0</v>
      </c>
      <c r="R25" s="24">
        <f ca="1">IF(AND(P25=0,Q25=0),0,IFERROR(MAX(ROUNDUP(P25/INDEX(tblClusters[vCPU / noeud (deduit)],MATCH($B25,tblClusters[Cluster],0)),0),ROUNDUP(Q25/INDEX(tblClusters[RAM / noeud - Go (deduit)],MATCH($B25,tblClusters[Cluster],0)),0)),"Flavor a definir"))</f>
        <v>0</v>
      </c>
    </row>
    <row r="26" spans="1:18" x14ac:dyDescent="0.2">
      <c r="A26" s="38">
        <v>46661</v>
      </c>
      <c r="B26" s="21" t="s">
        <v>156</v>
      </c>
      <c r="C26" s="28" t="str">
        <f>IFERROR(INDEX(tblClusters[Utilisation],MATCH($B26,tblClusters[Cluster],0)),"")</f>
        <v>Mutualise GIE France</v>
      </c>
      <c r="D26" s="28" t="str">
        <f>IFERROR(INDEX(tblClusters[Type (deduit)],MATCH($B26,tblClusters[Cluster],0)),"")</f>
        <v>Mutualise</v>
      </c>
      <c r="E26" s="24">
        <f>IFERROR(INDEX(tblClusters[CPU max (cores)],MATCH($B26,tblClusters[Cluster],0)),0)</f>
        <v>192</v>
      </c>
      <c r="F26" s="24">
        <f>IFERROR(INDEX(tblClusters[RAM max (Go)],MATCH($B26,tblClusters[Cluster],0)),0)</f>
        <v>480</v>
      </c>
      <c r="G26" s="24">
        <f>IFERROR(INDEX(tblClusters[Charge existante CPU hors migration],MATCH($B26,tblClusters[Cluster],0)),0)</f>
        <v>0</v>
      </c>
      <c r="H26" s="24">
        <f>IFERROR(INDEX(tblClusters[Charge existante RAM hors migration (Go)],MATCH($B26,tblClusters[Cluster],0)),0)</f>
        <v>0</v>
      </c>
      <c r="I26" s="24">
        <f ca="1">SUMIFS(tblApplications[CPU cible ROKS],tblApplications[Cluster ROKS cible (auto)],$B26,tblApplications[Mois de bascule prevu],"&lt;="&amp;EOMONTH($A26,0),tblApplications[Inclus projection O/N],"O")</f>
        <v>19</v>
      </c>
      <c r="J26" s="24">
        <f ca="1">SUMIFS(tblApplications[RAM cible ROKS],tblApplications[Cluster ROKS cible (auto)],$B26,tblApplications[Mois de bascule prevu],"&lt;="&amp;EOMONTH($A26,0),tblApplications[Inclus projection O/N],"O")</f>
        <v>70</v>
      </c>
      <c r="K26" s="25">
        <f t="shared" ca="1" si="0"/>
        <v>19</v>
      </c>
      <c r="L26" s="25">
        <f t="shared" ca="1" si="1"/>
        <v>70</v>
      </c>
      <c r="M26" s="26">
        <f t="shared" ca="1" si="2"/>
        <v>9.8958333333333329E-2</v>
      </c>
      <c r="N26" s="26">
        <f t="shared" ca="1" si="3"/>
        <v>0.14583333333333334</v>
      </c>
      <c r="O26" s="22" t="str">
        <f ca="1">IF(E26=0,IF(K26&gt;0,"Cluster sans capacite provisionnee","n/a"),IF(OR(M26&gt;=Clusters_ROKS!$AC$5,N26&gt;=Clusters_ROKS!$AC$5),"Seuil depasse","OK"))</f>
        <v>OK</v>
      </c>
      <c r="P26" s="25">
        <f t="shared" ca="1" si="4"/>
        <v>0</v>
      </c>
      <c r="Q26" s="25">
        <f t="shared" ca="1" si="5"/>
        <v>0</v>
      </c>
      <c r="R26" s="24">
        <f ca="1">IF(AND(P26=0,Q26=0),0,IFERROR(MAX(ROUNDUP(P26/INDEX(tblClusters[vCPU / noeud (deduit)],MATCH($B26,tblClusters[Cluster],0)),0),ROUNDUP(Q26/INDEX(tblClusters[RAM / noeud - Go (deduit)],MATCH($B26,tblClusters[Cluster],0)),0)),"Flavor a definir"))</f>
        <v>0</v>
      </c>
    </row>
    <row r="27" spans="1:18" x14ac:dyDescent="0.2">
      <c r="A27" s="38">
        <v>46692</v>
      </c>
      <c r="B27" s="21" t="s">
        <v>156</v>
      </c>
      <c r="C27" s="28" t="str">
        <f>IFERROR(INDEX(tblClusters[Utilisation],MATCH($B27,tblClusters[Cluster],0)),"")</f>
        <v>Mutualise GIE France</v>
      </c>
      <c r="D27" s="28" t="str">
        <f>IFERROR(INDEX(tblClusters[Type (deduit)],MATCH($B27,tblClusters[Cluster],0)),"")</f>
        <v>Mutualise</v>
      </c>
      <c r="E27" s="24">
        <f>IFERROR(INDEX(tblClusters[CPU max (cores)],MATCH($B27,tblClusters[Cluster],0)),0)</f>
        <v>192</v>
      </c>
      <c r="F27" s="24">
        <f>IFERROR(INDEX(tblClusters[RAM max (Go)],MATCH($B27,tblClusters[Cluster],0)),0)</f>
        <v>480</v>
      </c>
      <c r="G27" s="24">
        <f>IFERROR(INDEX(tblClusters[Charge existante CPU hors migration],MATCH($B27,tblClusters[Cluster],0)),0)</f>
        <v>0</v>
      </c>
      <c r="H27" s="24">
        <f>IFERROR(INDEX(tblClusters[Charge existante RAM hors migration (Go)],MATCH($B27,tblClusters[Cluster],0)),0)</f>
        <v>0</v>
      </c>
      <c r="I27" s="24">
        <f ca="1">SUMIFS(tblApplications[CPU cible ROKS],tblApplications[Cluster ROKS cible (auto)],$B27,tblApplications[Mois de bascule prevu],"&lt;="&amp;EOMONTH($A27,0),tblApplications[Inclus projection O/N],"O")</f>
        <v>19</v>
      </c>
      <c r="J27" s="24">
        <f ca="1">SUMIFS(tblApplications[RAM cible ROKS],tblApplications[Cluster ROKS cible (auto)],$B27,tblApplications[Mois de bascule prevu],"&lt;="&amp;EOMONTH($A27,0),tblApplications[Inclus projection O/N],"O")</f>
        <v>70</v>
      </c>
      <c r="K27" s="25">
        <f t="shared" ca="1" si="0"/>
        <v>19</v>
      </c>
      <c r="L27" s="25">
        <f t="shared" ca="1" si="1"/>
        <v>70</v>
      </c>
      <c r="M27" s="26">
        <f t="shared" ca="1" si="2"/>
        <v>9.8958333333333329E-2</v>
      </c>
      <c r="N27" s="26">
        <f t="shared" ca="1" si="3"/>
        <v>0.14583333333333334</v>
      </c>
      <c r="O27" s="22" t="str">
        <f ca="1">IF(E27=0,IF(K27&gt;0,"Cluster sans capacite provisionnee","n/a"),IF(OR(M27&gt;=Clusters_ROKS!$AC$5,N27&gt;=Clusters_ROKS!$AC$5),"Seuil depasse","OK"))</f>
        <v>OK</v>
      </c>
      <c r="P27" s="25">
        <f t="shared" ca="1" si="4"/>
        <v>0</v>
      </c>
      <c r="Q27" s="25">
        <f t="shared" ca="1" si="5"/>
        <v>0</v>
      </c>
      <c r="R27" s="24">
        <f ca="1">IF(AND(P27=0,Q27=0),0,IFERROR(MAX(ROUNDUP(P27/INDEX(tblClusters[vCPU / noeud (deduit)],MATCH($B27,tblClusters[Cluster],0)),0),ROUNDUP(Q27/INDEX(tblClusters[RAM / noeud - Go (deduit)],MATCH($B27,tblClusters[Cluster],0)),0)),"Flavor a definir"))</f>
        <v>0</v>
      </c>
    </row>
    <row r="28" spans="1:18" x14ac:dyDescent="0.2">
      <c r="A28" s="38">
        <v>46722</v>
      </c>
      <c r="B28" s="21" t="s">
        <v>156</v>
      </c>
      <c r="C28" s="28" t="str">
        <f>IFERROR(INDEX(tblClusters[Utilisation],MATCH($B28,tblClusters[Cluster],0)),"")</f>
        <v>Mutualise GIE France</v>
      </c>
      <c r="D28" s="28" t="str">
        <f>IFERROR(INDEX(tblClusters[Type (deduit)],MATCH($B28,tblClusters[Cluster],0)),"")</f>
        <v>Mutualise</v>
      </c>
      <c r="E28" s="24">
        <f>IFERROR(INDEX(tblClusters[CPU max (cores)],MATCH($B28,tblClusters[Cluster],0)),0)</f>
        <v>192</v>
      </c>
      <c r="F28" s="24">
        <f>IFERROR(INDEX(tblClusters[RAM max (Go)],MATCH($B28,tblClusters[Cluster],0)),0)</f>
        <v>480</v>
      </c>
      <c r="G28" s="24">
        <f>IFERROR(INDEX(tblClusters[Charge existante CPU hors migration],MATCH($B28,tblClusters[Cluster],0)),0)</f>
        <v>0</v>
      </c>
      <c r="H28" s="24">
        <f>IFERROR(INDEX(tblClusters[Charge existante RAM hors migration (Go)],MATCH($B28,tblClusters[Cluster],0)),0)</f>
        <v>0</v>
      </c>
      <c r="I28" s="24">
        <f ca="1">SUMIFS(tblApplications[CPU cible ROKS],tblApplications[Cluster ROKS cible (auto)],$B28,tblApplications[Mois de bascule prevu],"&lt;="&amp;EOMONTH($A28,0),tblApplications[Inclus projection O/N],"O")</f>
        <v>19</v>
      </c>
      <c r="J28" s="24">
        <f ca="1">SUMIFS(tblApplications[RAM cible ROKS],tblApplications[Cluster ROKS cible (auto)],$B28,tblApplications[Mois de bascule prevu],"&lt;="&amp;EOMONTH($A28,0),tblApplications[Inclus projection O/N],"O")</f>
        <v>70</v>
      </c>
      <c r="K28" s="25">
        <f t="shared" ca="1" si="0"/>
        <v>19</v>
      </c>
      <c r="L28" s="25">
        <f t="shared" ca="1" si="1"/>
        <v>70</v>
      </c>
      <c r="M28" s="26">
        <f t="shared" ca="1" si="2"/>
        <v>9.8958333333333329E-2</v>
      </c>
      <c r="N28" s="26">
        <f t="shared" ca="1" si="3"/>
        <v>0.14583333333333334</v>
      </c>
      <c r="O28" s="22" t="str">
        <f ca="1">IF(E28=0,IF(K28&gt;0,"Cluster sans capacite provisionnee","n/a"),IF(OR(M28&gt;=Clusters_ROKS!$AC$5,N28&gt;=Clusters_ROKS!$AC$5),"Seuil depasse","OK"))</f>
        <v>OK</v>
      </c>
      <c r="P28" s="25">
        <f t="shared" ca="1" si="4"/>
        <v>0</v>
      </c>
      <c r="Q28" s="25">
        <f t="shared" ca="1" si="5"/>
        <v>0</v>
      </c>
      <c r="R28" s="24">
        <f ca="1">IF(AND(P28=0,Q28=0),0,IFERROR(MAX(ROUNDUP(P28/INDEX(tblClusters[vCPU / noeud (deduit)],MATCH($B28,tblClusters[Cluster],0)),0),ROUNDUP(Q28/INDEX(tblClusters[RAM / noeud - Go (deduit)],MATCH($B28,tblClusters[Cluster],0)),0)),"Flavor a definir"))</f>
        <v>0</v>
      </c>
    </row>
    <row r="29" spans="1:18" x14ac:dyDescent="0.2">
      <c r="A29" s="38">
        <v>46388</v>
      </c>
      <c r="B29" s="21" t="s">
        <v>159</v>
      </c>
      <c r="C29" s="28" t="str">
        <f>IFERROR(INDEX(tblClusters[Utilisation],MATCH($B29,tblClusters[Cluster],0)),"")</f>
        <v>Mutualise Secret GIE France</v>
      </c>
      <c r="D29" s="28" t="str">
        <f>IFERROR(INDEX(tblClusters[Type (deduit)],MATCH($B29,tblClusters[Cluster],0)),"")</f>
        <v>Mutualise</v>
      </c>
      <c r="E29" s="24">
        <f>IFERROR(INDEX(tblClusters[CPU max (cores)],MATCH($B29,tblClusters[Cluster],0)),0)</f>
        <v>96</v>
      </c>
      <c r="F29" s="24">
        <f>IFERROR(INDEX(tblClusters[RAM max (Go)],MATCH($B29,tblClusters[Cluster],0)),0)</f>
        <v>480</v>
      </c>
      <c r="G29" s="24">
        <f>IFERROR(INDEX(tblClusters[Charge existante CPU hors migration],MATCH($B29,tblClusters[Cluster],0)),0)</f>
        <v>0</v>
      </c>
      <c r="H29" s="24">
        <f>IFERROR(INDEX(tblClusters[Charge existante RAM hors migration (Go)],MATCH($B29,tblClusters[Cluster],0)),0)</f>
        <v>0</v>
      </c>
      <c r="I29" s="24">
        <f ca="1">SUMIFS(tblApplications[CPU cible ROKS],tblApplications[Cluster ROKS cible (auto)],$B29,tblApplications[Mois de bascule prevu],"&lt;="&amp;EOMONTH($A29,0),tblApplications[Inclus projection O/N],"O")</f>
        <v>0</v>
      </c>
      <c r="J29" s="24">
        <f ca="1">SUMIFS(tblApplications[RAM cible ROKS],tblApplications[Cluster ROKS cible (auto)],$B29,tblApplications[Mois de bascule prevu],"&lt;="&amp;EOMONTH($A29,0),tblApplications[Inclus projection O/N],"O")</f>
        <v>0</v>
      </c>
      <c r="K29" s="25">
        <f t="shared" ca="1" si="0"/>
        <v>0</v>
      </c>
      <c r="L29" s="25">
        <f t="shared" ca="1" si="1"/>
        <v>0</v>
      </c>
      <c r="M29" s="26">
        <f t="shared" ca="1" si="2"/>
        <v>0</v>
      </c>
      <c r="N29" s="26">
        <f t="shared" ca="1" si="3"/>
        <v>0</v>
      </c>
      <c r="O29" s="22" t="str">
        <f ca="1">IF(E29=0,IF(K29&gt;0,"Cluster sans capacite provisionnee","n/a"),IF(OR(M29&gt;=Clusters_ROKS!$AC$5,N29&gt;=Clusters_ROKS!$AC$5),"Seuil depasse","OK"))</f>
        <v>OK</v>
      </c>
      <c r="P29" s="25">
        <f t="shared" ca="1" si="4"/>
        <v>0</v>
      </c>
      <c r="Q29" s="25">
        <f t="shared" ca="1" si="5"/>
        <v>0</v>
      </c>
      <c r="R29" s="24">
        <f ca="1">IF(AND(P29=0,Q29=0),0,IFERROR(MAX(ROUNDUP(P29/INDEX(tblClusters[vCPU / noeud (deduit)],MATCH($B29,tblClusters[Cluster],0)),0),ROUNDUP(Q29/INDEX(tblClusters[RAM / noeud - Go (deduit)],MATCH($B29,tblClusters[Cluster],0)),0)),"Flavor a definir"))</f>
        <v>0</v>
      </c>
    </row>
    <row r="30" spans="1:18" x14ac:dyDescent="0.2">
      <c r="A30" s="38">
        <v>46419</v>
      </c>
      <c r="B30" s="21" t="s">
        <v>159</v>
      </c>
      <c r="C30" s="28" t="str">
        <f>IFERROR(INDEX(tblClusters[Utilisation],MATCH($B30,tblClusters[Cluster],0)),"")</f>
        <v>Mutualise Secret GIE France</v>
      </c>
      <c r="D30" s="28" t="str">
        <f>IFERROR(INDEX(tblClusters[Type (deduit)],MATCH($B30,tblClusters[Cluster],0)),"")</f>
        <v>Mutualise</v>
      </c>
      <c r="E30" s="24">
        <f>IFERROR(INDEX(tblClusters[CPU max (cores)],MATCH($B30,tblClusters[Cluster],0)),0)</f>
        <v>96</v>
      </c>
      <c r="F30" s="24">
        <f>IFERROR(INDEX(tblClusters[RAM max (Go)],MATCH($B30,tblClusters[Cluster],0)),0)</f>
        <v>480</v>
      </c>
      <c r="G30" s="24">
        <f>IFERROR(INDEX(tblClusters[Charge existante CPU hors migration],MATCH($B30,tblClusters[Cluster],0)),0)</f>
        <v>0</v>
      </c>
      <c r="H30" s="24">
        <f>IFERROR(INDEX(tblClusters[Charge existante RAM hors migration (Go)],MATCH($B30,tblClusters[Cluster],0)),0)</f>
        <v>0</v>
      </c>
      <c r="I30" s="24">
        <f ca="1">SUMIFS(tblApplications[CPU cible ROKS],tblApplications[Cluster ROKS cible (auto)],$B30,tblApplications[Mois de bascule prevu],"&lt;="&amp;EOMONTH($A30,0),tblApplications[Inclus projection O/N],"O")</f>
        <v>0</v>
      </c>
      <c r="J30" s="24">
        <f ca="1">SUMIFS(tblApplications[RAM cible ROKS],tblApplications[Cluster ROKS cible (auto)],$B30,tblApplications[Mois de bascule prevu],"&lt;="&amp;EOMONTH($A30,0),tblApplications[Inclus projection O/N],"O")</f>
        <v>0</v>
      </c>
      <c r="K30" s="25">
        <f t="shared" ca="1" si="0"/>
        <v>0</v>
      </c>
      <c r="L30" s="25">
        <f t="shared" ca="1" si="1"/>
        <v>0</v>
      </c>
      <c r="M30" s="26">
        <f t="shared" ca="1" si="2"/>
        <v>0</v>
      </c>
      <c r="N30" s="26">
        <f t="shared" ca="1" si="3"/>
        <v>0</v>
      </c>
      <c r="O30" s="22" t="str">
        <f ca="1">IF(E30=0,IF(K30&gt;0,"Cluster sans capacite provisionnee","n/a"),IF(OR(M30&gt;=Clusters_ROKS!$AC$5,N30&gt;=Clusters_ROKS!$AC$5),"Seuil depasse","OK"))</f>
        <v>OK</v>
      </c>
      <c r="P30" s="25">
        <f t="shared" ca="1" si="4"/>
        <v>0</v>
      </c>
      <c r="Q30" s="25">
        <f t="shared" ca="1" si="5"/>
        <v>0</v>
      </c>
      <c r="R30" s="24">
        <f ca="1">IF(AND(P30=0,Q30=0),0,IFERROR(MAX(ROUNDUP(P30/INDEX(tblClusters[vCPU / noeud (deduit)],MATCH($B30,tblClusters[Cluster],0)),0),ROUNDUP(Q30/INDEX(tblClusters[RAM / noeud - Go (deduit)],MATCH($B30,tblClusters[Cluster],0)),0)),"Flavor a definir"))</f>
        <v>0</v>
      </c>
    </row>
    <row r="31" spans="1:18" x14ac:dyDescent="0.2">
      <c r="A31" s="38">
        <v>46447</v>
      </c>
      <c r="B31" s="21" t="s">
        <v>159</v>
      </c>
      <c r="C31" s="28" t="str">
        <f>IFERROR(INDEX(tblClusters[Utilisation],MATCH($B31,tblClusters[Cluster],0)),"")</f>
        <v>Mutualise Secret GIE France</v>
      </c>
      <c r="D31" s="28" t="str">
        <f>IFERROR(INDEX(tblClusters[Type (deduit)],MATCH($B31,tblClusters[Cluster],0)),"")</f>
        <v>Mutualise</v>
      </c>
      <c r="E31" s="24">
        <f>IFERROR(INDEX(tblClusters[CPU max (cores)],MATCH($B31,tblClusters[Cluster],0)),0)</f>
        <v>96</v>
      </c>
      <c r="F31" s="24">
        <f>IFERROR(INDEX(tblClusters[RAM max (Go)],MATCH($B31,tblClusters[Cluster],0)),0)</f>
        <v>480</v>
      </c>
      <c r="G31" s="24">
        <f>IFERROR(INDEX(tblClusters[Charge existante CPU hors migration],MATCH($B31,tblClusters[Cluster],0)),0)</f>
        <v>0</v>
      </c>
      <c r="H31" s="24">
        <f>IFERROR(INDEX(tblClusters[Charge existante RAM hors migration (Go)],MATCH($B31,tblClusters[Cluster],0)),0)</f>
        <v>0</v>
      </c>
      <c r="I31" s="24">
        <f ca="1">SUMIFS(tblApplications[CPU cible ROKS],tblApplications[Cluster ROKS cible (auto)],$B31,tblApplications[Mois de bascule prevu],"&lt;="&amp;EOMONTH($A31,0),tblApplications[Inclus projection O/N],"O")</f>
        <v>0</v>
      </c>
      <c r="J31" s="24">
        <f ca="1">SUMIFS(tblApplications[RAM cible ROKS],tblApplications[Cluster ROKS cible (auto)],$B31,tblApplications[Mois de bascule prevu],"&lt;="&amp;EOMONTH($A31,0),tblApplications[Inclus projection O/N],"O")</f>
        <v>0</v>
      </c>
      <c r="K31" s="25">
        <f t="shared" ca="1" si="0"/>
        <v>0</v>
      </c>
      <c r="L31" s="25">
        <f t="shared" ca="1" si="1"/>
        <v>0</v>
      </c>
      <c r="M31" s="26">
        <f t="shared" ca="1" si="2"/>
        <v>0</v>
      </c>
      <c r="N31" s="26">
        <f t="shared" ca="1" si="3"/>
        <v>0</v>
      </c>
      <c r="O31" s="22" t="str">
        <f ca="1">IF(E31=0,IF(K31&gt;0,"Cluster sans capacite provisionnee","n/a"),IF(OR(M31&gt;=Clusters_ROKS!$AC$5,N31&gt;=Clusters_ROKS!$AC$5),"Seuil depasse","OK"))</f>
        <v>OK</v>
      </c>
      <c r="P31" s="25">
        <f t="shared" ca="1" si="4"/>
        <v>0</v>
      </c>
      <c r="Q31" s="25">
        <f t="shared" ca="1" si="5"/>
        <v>0</v>
      </c>
      <c r="R31" s="24">
        <f ca="1">IF(AND(P31=0,Q31=0),0,IFERROR(MAX(ROUNDUP(P31/INDEX(tblClusters[vCPU / noeud (deduit)],MATCH($B31,tblClusters[Cluster],0)),0),ROUNDUP(Q31/INDEX(tblClusters[RAM / noeud - Go (deduit)],MATCH($B31,tblClusters[Cluster],0)),0)),"Flavor a definir"))</f>
        <v>0</v>
      </c>
    </row>
    <row r="32" spans="1:18" x14ac:dyDescent="0.2">
      <c r="A32" s="38">
        <v>46478</v>
      </c>
      <c r="B32" s="21" t="s">
        <v>159</v>
      </c>
      <c r="C32" s="28" t="str">
        <f>IFERROR(INDEX(tblClusters[Utilisation],MATCH($B32,tblClusters[Cluster],0)),"")</f>
        <v>Mutualise Secret GIE France</v>
      </c>
      <c r="D32" s="28" t="str">
        <f>IFERROR(INDEX(tblClusters[Type (deduit)],MATCH($B32,tblClusters[Cluster],0)),"")</f>
        <v>Mutualise</v>
      </c>
      <c r="E32" s="24">
        <f>IFERROR(INDEX(tblClusters[CPU max (cores)],MATCH($B32,tblClusters[Cluster],0)),0)</f>
        <v>96</v>
      </c>
      <c r="F32" s="24">
        <f>IFERROR(INDEX(tblClusters[RAM max (Go)],MATCH($B32,tblClusters[Cluster],0)),0)</f>
        <v>480</v>
      </c>
      <c r="G32" s="24">
        <f>IFERROR(INDEX(tblClusters[Charge existante CPU hors migration],MATCH($B32,tblClusters[Cluster],0)),0)</f>
        <v>0</v>
      </c>
      <c r="H32" s="24">
        <f>IFERROR(INDEX(tblClusters[Charge existante RAM hors migration (Go)],MATCH($B32,tblClusters[Cluster],0)),0)</f>
        <v>0</v>
      </c>
      <c r="I32" s="24">
        <f ca="1">SUMIFS(tblApplications[CPU cible ROKS],tblApplications[Cluster ROKS cible (auto)],$B32,tblApplications[Mois de bascule prevu],"&lt;="&amp;EOMONTH($A32,0),tblApplications[Inclus projection O/N],"O")</f>
        <v>0</v>
      </c>
      <c r="J32" s="24">
        <f ca="1">SUMIFS(tblApplications[RAM cible ROKS],tblApplications[Cluster ROKS cible (auto)],$B32,tblApplications[Mois de bascule prevu],"&lt;="&amp;EOMONTH($A32,0),tblApplications[Inclus projection O/N],"O")</f>
        <v>0</v>
      </c>
      <c r="K32" s="25">
        <f t="shared" ca="1" si="0"/>
        <v>0</v>
      </c>
      <c r="L32" s="25">
        <f t="shared" ca="1" si="1"/>
        <v>0</v>
      </c>
      <c r="M32" s="26">
        <f t="shared" ca="1" si="2"/>
        <v>0</v>
      </c>
      <c r="N32" s="26">
        <f t="shared" ca="1" si="3"/>
        <v>0</v>
      </c>
      <c r="O32" s="22" t="str">
        <f ca="1">IF(E32=0,IF(K32&gt;0,"Cluster sans capacite provisionnee","n/a"),IF(OR(M32&gt;=Clusters_ROKS!$AC$5,N32&gt;=Clusters_ROKS!$AC$5),"Seuil depasse","OK"))</f>
        <v>OK</v>
      </c>
      <c r="P32" s="25">
        <f t="shared" ca="1" si="4"/>
        <v>0</v>
      </c>
      <c r="Q32" s="25">
        <f t="shared" ca="1" si="5"/>
        <v>0</v>
      </c>
      <c r="R32" s="24">
        <f ca="1">IF(AND(P32=0,Q32=0),0,IFERROR(MAX(ROUNDUP(P32/INDEX(tblClusters[vCPU / noeud (deduit)],MATCH($B32,tblClusters[Cluster],0)),0),ROUNDUP(Q32/INDEX(tblClusters[RAM / noeud - Go (deduit)],MATCH($B32,tblClusters[Cluster],0)),0)),"Flavor a definir"))</f>
        <v>0</v>
      </c>
    </row>
    <row r="33" spans="1:18" x14ac:dyDescent="0.2">
      <c r="A33" s="38">
        <v>46508</v>
      </c>
      <c r="B33" s="21" t="s">
        <v>159</v>
      </c>
      <c r="C33" s="28" t="str">
        <f>IFERROR(INDEX(tblClusters[Utilisation],MATCH($B33,tblClusters[Cluster],0)),"")</f>
        <v>Mutualise Secret GIE France</v>
      </c>
      <c r="D33" s="28" t="str">
        <f>IFERROR(INDEX(tblClusters[Type (deduit)],MATCH($B33,tblClusters[Cluster],0)),"")</f>
        <v>Mutualise</v>
      </c>
      <c r="E33" s="24">
        <f>IFERROR(INDEX(tblClusters[CPU max (cores)],MATCH($B33,tblClusters[Cluster],0)),0)</f>
        <v>96</v>
      </c>
      <c r="F33" s="24">
        <f>IFERROR(INDEX(tblClusters[RAM max (Go)],MATCH($B33,tblClusters[Cluster],0)),0)</f>
        <v>480</v>
      </c>
      <c r="G33" s="24">
        <f>IFERROR(INDEX(tblClusters[Charge existante CPU hors migration],MATCH($B33,tblClusters[Cluster],0)),0)</f>
        <v>0</v>
      </c>
      <c r="H33" s="24">
        <f>IFERROR(INDEX(tblClusters[Charge existante RAM hors migration (Go)],MATCH($B33,tblClusters[Cluster],0)),0)</f>
        <v>0</v>
      </c>
      <c r="I33" s="24">
        <f ca="1">SUMIFS(tblApplications[CPU cible ROKS],tblApplications[Cluster ROKS cible (auto)],$B33,tblApplications[Mois de bascule prevu],"&lt;="&amp;EOMONTH($A33,0),tblApplications[Inclus projection O/N],"O")</f>
        <v>0</v>
      </c>
      <c r="J33" s="24">
        <f ca="1">SUMIFS(tblApplications[RAM cible ROKS],tblApplications[Cluster ROKS cible (auto)],$B33,tblApplications[Mois de bascule prevu],"&lt;="&amp;EOMONTH($A33,0),tblApplications[Inclus projection O/N],"O")</f>
        <v>0</v>
      </c>
      <c r="K33" s="25">
        <f t="shared" ca="1" si="0"/>
        <v>0</v>
      </c>
      <c r="L33" s="25">
        <f t="shared" ca="1" si="1"/>
        <v>0</v>
      </c>
      <c r="M33" s="26">
        <f t="shared" ca="1" si="2"/>
        <v>0</v>
      </c>
      <c r="N33" s="26">
        <f t="shared" ca="1" si="3"/>
        <v>0</v>
      </c>
      <c r="O33" s="22" t="str">
        <f ca="1">IF(E33=0,IF(K33&gt;0,"Cluster sans capacite provisionnee","n/a"),IF(OR(M33&gt;=Clusters_ROKS!$AC$5,N33&gt;=Clusters_ROKS!$AC$5),"Seuil depasse","OK"))</f>
        <v>OK</v>
      </c>
      <c r="P33" s="25">
        <f t="shared" ca="1" si="4"/>
        <v>0</v>
      </c>
      <c r="Q33" s="25">
        <f t="shared" ca="1" si="5"/>
        <v>0</v>
      </c>
      <c r="R33" s="24">
        <f ca="1">IF(AND(P33=0,Q33=0),0,IFERROR(MAX(ROUNDUP(P33/INDEX(tblClusters[vCPU / noeud (deduit)],MATCH($B33,tblClusters[Cluster],0)),0),ROUNDUP(Q33/INDEX(tblClusters[RAM / noeud - Go (deduit)],MATCH($B33,tblClusters[Cluster],0)),0)),"Flavor a definir"))</f>
        <v>0</v>
      </c>
    </row>
    <row r="34" spans="1:18" x14ac:dyDescent="0.2">
      <c r="A34" s="38">
        <v>46539</v>
      </c>
      <c r="B34" s="21" t="s">
        <v>159</v>
      </c>
      <c r="C34" s="28" t="str">
        <f>IFERROR(INDEX(tblClusters[Utilisation],MATCH($B34,tblClusters[Cluster],0)),"")</f>
        <v>Mutualise Secret GIE France</v>
      </c>
      <c r="D34" s="28" t="str">
        <f>IFERROR(INDEX(tblClusters[Type (deduit)],MATCH($B34,tblClusters[Cluster],0)),"")</f>
        <v>Mutualise</v>
      </c>
      <c r="E34" s="24">
        <f>IFERROR(INDEX(tblClusters[CPU max (cores)],MATCH($B34,tblClusters[Cluster],0)),0)</f>
        <v>96</v>
      </c>
      <c r="F34" s="24">
        <f>IFERROR(INDEX(tblClusters[RAM max (Go)],MATCH($B34,tblClusters[Cluster],0)),0)</f>
        <v>480</v>
      </c>
      <c r="G34" s="24">
        <f>IFERROR(INDEX(tblClusters[Charge existante CPU hors migration],MATCH($B34,tblClusters[Cluster],0)),0)</f>
        <v>0</v>
      </c>
      <c r="H34" s="24">
        <f>IFERROR(INDEX(tblClusters[Charge existante RAM hors migration (Go)],MATCH($B34,tblClusters[Cluster],0)),0)</f>
        <v>0</v>
      </c>
      <c r="I34" s="24">
        <f ca="1">SUMIFS(tblApplications[CPU cible ROKS],tblApplications[Cluster ROKS cible (auto)],$B34,tblApplications[Mois de bascule prevu],"&lt;="&amp;EOMONTH($A34,0),tblApplications[Inclus projection O/N],"O")</f>
        <v>0</v>
      </c>
      <c r="J34" s="24">
        <f ca="1">SUMIFS(tblApplications[RAM cible ROKS],tblApplications[Cluster ROKS cible (auto)],$B34,tblApplications[Mois de bascule prevu],"&lt;="&amp;EOMONTH($A34,0),tblApplications[Inclus projection O/N],"O")</f>
        <v>0</v>
      </c>
      <c r="K34" s="25">
        <f t="shared" ca="1" si="0"/>
        <v>0</v>
      </c>
      <c r="L34" s="25">
        <f t="shared" ca="1" si="1"/>
        <v>0</v>
      </c>
      <c r="M34" s="26">
        <f t="shared" ca="1" si="2"/>
        <v>0</v>
      </c>
      <c r="N34" s="26">
        <f t="shared" ca="1" si="3"/>
        <v>0</v>
      </c>
      <c r="O34" s="22" t="str">
        <f ca="1">IF(E34=0,IF(K34&gt;0,"Cluster sans capacite provisionnee","n/a"),IF(OR(M34&gt;=Clusters_ROKS!$AC$5,N34&gt;=Clusters_ROKS!$AC$5),"Seuil depasse","OK"))</f>
        <v>OK</v>
      </c>
      <c r="P34" s="25">
        <f t="shared" ca="1" si="4"/>
        <v>0</v>
      </c>
      <c r="Q34" s="25">
        <f t="shared" ca="1" si="5"/>
        <v>0</v>
      </c>
      <c r="R34" s="24">
        <f ca="1">IF(AND(P34=0,Q34=0),0,IFERROR(MAX(ROUNDUP(P34/INDEX(tblClusters[vCPU / noeud (deduit)],MATCH($B34,tblClusters[Cluster],0)),0),ROUNDUP(Q34/INDEX(tblClusters[RAM / noeud - Go (deduit)],MATCH($B34,tblClusters[Cluster],0)),0)),"Flavor a definir"))</f>
        <v>0</v>
      </c>
    </row>
    <row r="35" spans="1:18" x14ac:dyDescent="0.2">
      <c r="A35" s="38">
        <v>46569</v>
      </c>
      <c r="B35" s="21" t="s">
        <v>159</v>
      </c>
      <c r="C35" s="28" t="str">
        <f>IFERROR(INDEX(tblClusters[Utilisation],MATCH($B35,tblClusters[Cluster],0)),"")</f>
        <v>Mutualise Secret GIE France</v>
      </c>
      <c r="D35" s="28" t="str">
        <f>IFERROR(INDEX(tblClusters[Type (deduit)],MATCH($B35,tblClusters[Cluster],0)),"")</f>
        <v>Mutualise</v>
      </c>
      <c r="E35" s="24">
        <f>IFERROR(INDEX(tblClusters[CPU max (cores)],MATCH($B35,tblClusters[Cluster],0)),0)</f>
        <v>96</v>
      </c>
      <c r="F35" s="24">
        <f>IFERROR(INDEX(tblClusters[RAM max (Go)],MATCH($B35,tblClusters[Cluster],0)),0)</f>
        <v>480</v>
      </c>
      <c r="G35" s="24">
        <f>IFERROR(INDEX(tblClusters[Charge existante CPU hors migration],MATCH($B35,tblClusters[Cluster],0)),0)</f>
        <v>0</v>
      </c>
      <c r="H35" s="24">
        <f>IFERROR(INDEX(tblClusters[Charge existante RAM hors migration (Go)],MATCH($B35,tblClusters[Cluster],0)),0)</f>
        <v>0</v>
      </c>
      <c r="I35" s="24">
        <f ca="1">SUMIFS(tblApplications[CPU cible ROKS],tblApplications[Cluster ROKS cible (auto)],$B35,tblApplications[Mois de bascule prevu],"&lt;="&amp;EOMONTH($A35,0),tblApplications[Inclus projection O/N],"O")</f>
        <v>0</v>
      </c>
      <c r="J35" s="24">
        <f ca="1">SUMIFS(tblApplications[RAM cible ROKS],tblApplications[Cluster ROKS cible (auto)],$B35,tblApplications[Mois de bascule prevu],"&lt;="&amp;EOMONTH($A35,0),tblApplications[Inclus projection O/N],"O")</f>
        <v>0</v>
      </c>
      <c r="K35" s="25">
        <f t="shared" ca="1" si="0"/>
        <v>0</v>
      </c>
      <c r="L35" s="25">
        <f t="shared" ca="1" si="1"/>
        <v>0</v>
      </c>
      <c r="M35" s="26">
        <f t="shared" ca="1" si="2"/>
        <v>0</v>
      </c>
      <c r="N35" s="26">
        <f t="shared" ca="1" si="3"/>
        <v>0</v>
      </c>
      <c r="O35" s="22" t="str">
        <f ca="1">IF(E35=0,IF(K35&gt;0,"Cluster sans capacite provisionnee","n/a"),IF(OR(M35&gt;=Clusters_ROKS!$AC$5,N35&gt;=Clusters_ROKS!$AC$5),"Seuil depasse","OK"))</f>
        <v>OK</v>
      </c>
      <c r="P35" s="25">
        <f t="shared" ca="1" si="4"/>
        <v>0</v>
      </c>
      <c r="Q35" s="25">
        <f t="shared" ca="1" si="5"/>
        <v>0</v>
      </c>
      <c r="R35" s="24">
        <f ca="1">IF(AND(P35=0,Q35=0),0,IFERROR(MAX(ROUNDUP(P35/INDEX(tblClusters[vCPU / noeud (deduit)],MATCH($B35,tblClusters[Cluster],0)),0),ROUNDUP(Q35/INDEX(tblClusters[RAM / noeud - Go (deduit)],MATCH($B35,tblClusters[Cluster],0)),0)),"Flavor a definir"))</f>
        <v>0</v>
      </c>
    </row>
    <row r="36" spans="1:18" x14ac:dyDescent="0.2">
      <c r="A36" s="38">
        <v>46600</v>
      </c>
      <c r="B36" s="21" t="s">
        <v>159</v>
      </c>
      <c r="C36" s="28" t="str">
        <f>IFERROR(INDEX(tblClusters[Utilisation],MATCH($B36,tblClusters[Cluster],0)),"")</f>
        <v>Mutualise Secret GIE France</v>
      </c>
      <c r="D36" s="28" t="str">
        <f>IFERROR(INDEX(tblClusters[Type (deduit)],MATCH($B36,tblClusters[Cluster],0)),"")</f>
        <v>Mutualise</v>
      </c>
      <c r="E36" s="24">
        <f>IFERROR(INDEX(tblClusters[CPU max (cores)],MATCH($B36,tblClusters[Cluster],0)),0)</f>
        <v>96</v>
      </c>
      <c r="F36" s="24">
        <f>IFERROR(INDEX(tblClusters[RAM max (Go)],MATCH($B36,tblClusters[Cluster],0)),0)</f>
        <v>480</v>
      </c>
      <c r="G36" s="24">
        <f>IFERROR(INDEX(tblClusters[Charge existante CPU hors migration],MATCH($B36,tblClusters[Cluster],0)),0)</f>
        <v>0</v>
      </c>
      <c r="H36" s="24">
        <f>IFERROR(INDEX(tblClusters[Charge existante RAM hors migration (Go)],MATCH($B36,tblClusters[Cluster],0)),0)</f>
        <v>0</v>
      </c>
      <c r="I36" s="24">
        <f ca="1">SUMIFS(tblApplications[CPU cible ROKS],tblApplications[Cluster ROKS cible (auto)],$B36,tblApplications[Mois de bascule prevu],"&lt;="&amp;EOMONTH($A36,0),tblApplications[Inclus projection O/N],"O")</f>
        <v>0</v>
      </c>
      <c r="J36" s="24">
        <f ca="1">SUMIFS(tblApplications[RAM cible ROKS],tblApplications[Cluster ROKS cible (auto)],$B36,tblApplications[Mois de bascule prevu],"&lt;="&amp;EOMONTH($A36,0),tblApplications[Inclus projection O/N],"O")</f>
        <v>0</v>
      </c>
      <c r="K36" s="25">
        <f t="shared" ca="1" si="0"/>
        <v>0</v>
      </c>
      <c r="L36" s="25">
        <f t="shared" ca="1" si="1"/>
        <v>0</v>
      </c>
      <c r="M36" s="26">
        <f t="shared" ca="1" si="2"/>
        <v>0</v>
      </c>
      <c r="N36" s="26">
        <f t="shared" ca="1" si="3"/>
        <v>0</v>
      </c>
      <c r="O36" s="22" t="str">
        <f ca="1">IF(E36=0,IF(K36&gt;0,"Cluster sans capacite provisionnee","n/a"),IF(OR(M36&gt;=Clusters_ROKS!$AC$5,N36&gt;=Clusters_ROKS!$AC$5),"Seuil depasse","OK"))</f>
        <v>OK</v>
      </c>
      <c r="P36" s="25">
        <f t="shared" ca="1" si="4"/>
        <v>0</v>
      </c>
      <c r="Q36" s="25">
        <f t="shared" ca="1" si="5"/>
        <v>0</v>
      </c>
      <c r="R36" s="24">
        <f ca="1">IF(AND(P36=0,Q36=0),0,IFERROR(MAX(ROUNDUP(P36/INDEX(tblClusters[vCPU / noeud (deduit)],MATCH($B36,tblClusters[Cluster],0)),0),ROUNDUP(Q36/INDEX(tblClusters[RAM / noeud - Go (deduit)],MATCH($B36,tblClusters[Cluster],0)),0)),"Flavor a definir"))</f>
        <v>0</v>
      </c>
    </row>
    <row r="37" spans="1:18" x14ac:dyDescent="0.2">
      <c r="A37" s="38">
        <v>46631</v>
      </c>
      <c r="B37" s="21" t="s">
        <v>159</v>
      </c>
      <c r="C37" s="28" t="str">
        <f>IFERROR(INDEX(tblClusters[Utilisation],MATCH($B37,tblClusters[Cluster],0)),"")</f>
        <v>Mutualise Secret GIE France</v>
      </c>
      <c r="D37" s="28" t="str">
        <f>IFERROR(INDEX(tblClusters[Type (deduit)],MATCH($B37,tblClusters[Cluster],0)),"")</f>
        <v>Mutualise</v>
      </c>
      <c r="E37" s="24">
        <f>IFERROR(INDEX(tblClusters[CPU max (cores)],MATCH($B37,tblClusters[Cluster],0)),0)</f>
        <v>96</v>
      </c>
      <c r="F37" s="24">
        <f>IFERROR(INDEX(tblClusters[RAM max (Go)],MATCH($B37,tblClusters[Cluster],0)),0)</f>
        <v>480</v>
      </c>
      <c r="G37" s="24">
        <f>IFERROR(INDEX(tblClusters[Charge existante CPU hors migration],MATCH($B37,tblClusters[Cluster],0)),0)</f>
        <v>0</v>
      </c>
      <c r="H37" s="24">
        <f>IFERROR(INDEX(tblClusters[Charge existante RAM hors migration (Go)],MATCH($B37,tblClusters[Cluster],0)),0)</f>
        <v>0</v>
      </c>
      <c r="I37" s="24">
        <f ca="1">SUMIFS(tblApplications[CPU cible ROKS],tblApplications[Cluster ROKS cible (auto)],$B37,tblApplications[Mois de bascule prevu],"&lt;="&amp;EOMONTH($A37,0),tblApplications[Inclus projection O/N],"O")</f>
        <v>0</v>
      </c>
      <c r="J37" s="24">
        <f ca="1">SUMIFS(tblApplications[RAM cible ROKS],tblApplications[Cluster ROKS cible (auto)],$B37,tblApplications[Mois de bascule prevu],"&lt;="&amp;EOMONTH($A37,0),tblApplications[Inclus projection O/N],"O")</f>
        <v>0</v>
      </c>
      <c r="K37" s="25">
        <f t="shared" ca="1" si="0"/>
        <v>0</v>
      </c>
      <c r="L37" s="25">
        <f t="shared" ca="1" si="1"/>
        <v>0</v>
      </c>
      <c r="M37" s="26">
        <f t="shared" ca="1" si="2"/>
        <v>0</v>
      </c>
      <c r="N37" s="26">
        <f t="shared" ca="1" si="3"/>
        <v>0</v>
      </c>
      <c r="O37" s="22" t="str">
        <f ca="1">IF(E37=0,IF(K37&gt;0,"Cluster sans capacite provisionnee","n/a"),IF(OR(M37&gt;=Clusters_ROKS!$AC$5,N37&gt;=Clusters_ROKS!$AC$5),"Seuil depasse","OK"))</f>
        <v>OK</v>
      </c>
      <c r="P37" s="25">
        <f t="shared" ca="1" si="4"/>
        <v>0</v>
      </c>
      <c r="Q37" s="25">
        <f t="shared" ca="1" si="5"/>
        <v>0</v>
      </c>
      <c r="R37" s="24">
        <f ca="1">IF(AND(P37=0,Q37=0),0,IFERROR(MAX(ROUNDUP(P37/INDEX(tblClusters[vCPU / noeud (deduit)],MATCH($B37,tblClusters[Cluster],0)),0),ROUNDUP(Q37/INDEX(tblClusters[RAM / noeud - Go (deduit)],MATCH($B37,tblClusters[Cluster],0)),0)),"Flavor a definir"))</f>
        <v>0</v>
      </c>
    </row>
    <row r="38" spans="1:18" x14ac:dyDescent="0.2">
      <c r="A38" s="38">
        <v>46661</v>
      </c>
      <c r="B38" s="21" t="s">
        <v>159</v>
      </c>
      <c r="C38" s="28" t="str">
        <f>IFERROR(INDEX(tblClusters[Utilisation],MATCH($B38,tblClusters[Cluster],0)),"")</f>
        <v>Mutualise Secret GIE France</v>
      </c>
      <c r="D38" s="28" t="str">
        <f>IFERROR(INDEX(tblClusters[Type (deduit)],MATCH($B38,tblClusters[Cluster],0)),"")</f>
        <v>Mutualise</v>
      </c>
      <c r="E38" s="24">
        <f>IFERROR(INDEX(tblClusters[CPU max (cores)],MATCH($B38,tblClusters[Cluster],0)),0)</f>
        <v>96</v>
      </c>
      <c r="F38" s="24">
        <f>IFERROR(INDEX(tblClusters[RAM max (Go)],MATCH($B38,tblClusters[Cluster],0)),0)</f>
        <v>480</v>
      </c>
      <c r="G38" s="24">
        <f>IFERROR(INDEX(tblClusters[Charge existante CPU hors migration],MATCH($B38,tblClusters[Cluster],0)),0)</f>
        <v>0</v>
      </c>
      <c r="H38" s="24">
        <f>IFERROR(INDEX(tblClusters[Charge existante RAM hors migration (Go)],MATCH($B38,tblClusters[Cluster],0)),0)</f>
        <v>0</v>
      </c>
      <c r="I38" s="24">
        <f ca="1">SUMIFS(tblApplications[CPU cible ROKS],tblApplications[Cluster ROKS cible (auto)],$B38,tblApplications[Mois de bascule prevu],"&lt;="&amp;EOMONTH($A38,0),tblApplications[Inclus projection O/N],"O")</f>
        <v>0</v>
      </c>
      <c r="J38" s="24">
        <f ca="1">SUMIFS(tblApplications[RAM cible ROKS],tblApplications[Cluster ROKS cible (auto)],$B38,tblApplications[Mois de bascule prevu],"&lt;="&amp;EOMONTH($A38,0),tblApplications[Inclus projection O/N],"O")</f>
        <v>0</v>
      </c>
      <c r="K38" s="25">
        <f t="shared" ca="1" si="0"/>
        <v>0</v>
      </c>
      <c r="L38" s="25">
        <f t="shared" ca="1" si="1"/>
        <v>0</v>
      </c>
      <c r="M38" s="26">
        <f t="shared" ca="1" si="2"/>
        <v>0</v>
      </c>
      <c r="N38" s="26">
        <f t="shared" ca="1" si="3"/>
        <v>0</v>
      </c>
      <c r="O38" s="22" t="str">
        <f ca="1">IF(E38=0,IF(K38&gt;0,"Cluster sans capacite provisionnee","n/a"),IF(OR(M38&gt;=Clusters_ROKS!$AC$5,N38&gt;=Clusters_ROKS!$AC$5),"Seuil depasse","OK"))</f>
        <v>OK</v>
      </c>
      <c r="P38" s="25">
        <f t="shared" ca="1" si="4"/>
        <v>0</v>
      </c>
      <c r="Q38" s="25">
        <f t="shared" ca="1" si="5"/>
        <v>0</v>
      </c>
      <c r="R38" s="24">
        <f ca="1">IF(AND(P38=0,Q38=0),0,IFERROR(MAX(ROUNDUP(P38/INDEX(tblClusters[vCPU / noeud (deduit)],MATCH($B38,tblClusters[Cluster],0)),0),ROUNDUP(Q38/INDEX(tblClusters[RAM / noeud - Go (deduit)],MATCH($B38,tblClusters[Cluster],0)),0)),"Flavor a definir"))</f>
        <v>0</v>
      </c>
    </row>
    <row r="39" spans="1:18" x14ac:dyDescent="0.2">
      <c r="A39" s="38">
        <v>46692</v>
      </c>
      <c r="B39" s="21" t="s">
        <v>159</v>
      </c>
      <c r="C39" s="28" t="str">
        <f>IFERROR(INDEX(tblClusters[Utilisation],MATCH($B39,tblClusters[Cluster],0)),"")</f>
        <v>Mutualise Secret GIE France</v>
      </c>
      <c r="D39" s="28" t="str">
        <f>IFERROR(INDEX(tblClusters[Type (deduit)],MATCH($B39,tblClusters[Cluster],0)),"")</f>
        <v>Mutualise</v>
      </c>
      <c r="E39" s="24">
        <f>IFERROR(INDEX(tblClusters[CPU max (cores)],MATCH($B39,tblClusters[Cluster],0)),0)</f>
        <v>96</v>
      </c>
      <c r="F39" s="24">
        <f>IFERROR(INDEX(tblClusters[RAM max (Go)],MATCH($B39,tblClusters[Cluster],0)),0)</f>
        <v>480</v>
      </c>
      <c r="G39" s="24">
        <f>IFERROR(INDEX(tblClusters[Charge existante CPU hors migration],MATCH($B39,tblClusters[Cluster],0)),0)</f>
        <v>0</v>
      </c>
      <c r="H39" s="24">
        <f>IFERROR(INDEX(tblClusters[Charge existante RAM hors migration (Go)],MATCH($B39,tblClusters[Cluster],0)),0)</f>
        <v>0</v>
      </c>
      <c r="I39" s="24">
        <f ca="1">SUMIFS(tblApplications[CPU cible ROKS],tblApplications[Cluster ROKS cible (auto)],$B39,tblApplications[Mois de bascule prevu],"&lt;="&amp;EOMONTH($A39,0),tblApplications[Inclus projection O/N],"O")</f>
        <v>0</v>
      </c>
      <c r="J39" s="24">
        <f ca="1">SUMIFS(tblApplications[RAM cible ROKS],tblApplications[Cluster ROKS cible (auto)],$B39,tblApplications[Mois de bascule prevu],"&lt;="&amp;EOMONTH($A39,0),tblApplications[Inclus projection O/N],"O")</f>
        <v>0</v>
      </c>
      <c r="K39" s="25">
        <f t="shared" ca="1" si="0"/>
        <v>0</v>
      </c>
      <c r="L39" s="25">
        <f t="shared" ca="1" si="1"/>
        <v>0</v>
      </c>
      <c r="M39" s="26">
        <f t="shared" ca="1" si="2"/>
        <v>0</v>
      </c>
      <c r="N39" s="26">
        <f t="shared" ca="1" si="3"/>
        <v>0</v>
      </c>
      <c r="O39" s="22" t="str">
        <f ca="1">IF(E39=0,IF(K39&gt;0,"Cluster sans capacite provisionnee","n/a"),IF(OR(M39&gt;=Clusters_ROKS!$AC$5,N39&gt;=Clusters_ROKS!$AC$5),"Seuil depasse","OK"))</f>
        <v>OK</v>
      </c>
      <c r="P39" s="25">
        <f t="shared" ca="1" si="4"/>
        <v>0</v>
      </c>
      <c r="Q39" s="25">
        <f t="shared" ca="1" si="5"/>
        <v>0</v>
      </c>
      <c r="R39" s="24">
        <f ca="1">IF(AND(P39=0,Q39=0),0,IFERROR(MAX(ROUNDUP(P39/INDEX(tblClusters[vCPU / noeud (deduit)],MATCH($B39,tblClusters[Cluster],0)),0),ROUNDUP(Q39/INDEX(tblClusters[RAM / noeud - Go (deduit)],MATCH($B39,tblClusters[Cluster],0)),0)),"Flavor a definir"))</f>
        <v>0</v>
      </c>
    </row>
    <row r="40" spans="1:18" x14ac:dyDescent="0.2">
      <c r="A40" s="38">
        <v>46722</v>
      </c>
      <c r="B40" s="21" t="s">
        <v>159</v>
      </c>
      <c r="C40" s="28" t="str">
        <f>IFERROR(INDEX(tblClusters[Utilisation],MATCH($B40,tblClusters[Cluster],0)),"")</f>
        <v>Mutualise Secret GIE France</v>
      </c>
      <c r="D40" s="28" t="str">
        <f>IFERROR(INDEX(tblClusters[Type (deduit)],MATCH($B40,tblClusters[Cluster],0)),"")</f>
        <v>Mutualise</v>
      </c>
      <c r="E40" s="24">
        <f>IFERROR(INDEX(tblClusters[CPU max (cores)],MATCH($B40,tblClusters[Cluster],0)),0)</f>
        <v>96</v>
      </c>
      <c r="F40" s="24">
        <f>IFERROR(INDEX(tblClusters[RAM max (Go)],MATCH($B40,tblClusters[Cluster],0)),0)</f>
        <v>480</v>
      </c>
      <c r="G40" s="24">
        <f>IFERROR(INDEX(tblClusters[Charge existante CPU hors migration],MATCH($B40,tblClusters[Cluster],0)),0)</f>
        <v>0</v>
      </c>
      <c r="H40" s="24">
        <f>IFERROR(INDEX(tblClusters[Charge existante RAM hors migration (Go)],MATCH($B40,tblClusters[Cluster],0)),0)</f>
        <v>0</v>
      </c>
      <c r="I40" s="24">
        <f ca="1">SUMIFS(tblApplications[CPU cible ROKS],tblApplications[Cluster ROKS cible (auto)],$B40,tblApplications[Mois de bascule prevu],"&lt;="&amp;EOMONTH($A40,0),tblApplications[Inclus projection O/N],"O")</f>
        <v>0</v>
      </c>
      <c r="J40" s="24">
        <f ca="1">SUMIFS(tblApplications[RAM cible ROKS],tblApplications[Cluster ROKS cible (auto)],$B40,tblApplications[Mois de bascule prevu],"&lt;="&amp;EOMONTH($A40,0),tblApplications[Inclus projection O/N],"O")</f>
        <v>0</v>
      </c>
      <c r="K40" s="25">
        <f t="shared" ca="1" si="0"/>
        <v>0</v>
      </c>
      <c r="L40" s="25">
        <f t="shared" ca="1" si="1"/>
        <v>0</v>
      </c>
      <c r="M40" s="26">
        <f t="shared" ca="1" si="2"/>
        <v>0</v>
      </c>
      <c r="N40" s="26">
        <f t="shared" ca="1" si="3"/>
        <v>0</v>
      </c>
      <c r="O40" s="22" t="str">
        <f ca="1">IF(E40=0,IF(K40&gt;0,"Cluster sans capacite provisionnee","n/a"),IF(OR(M40&gt;=Clusters_ROKS!$AC$5,N40&gt;=Clusters_ROKS!$AC$5),"Seuil depasse","OK"))</f>
        <v>OK</v>
      </c>
      <c r="P40" s="25">
        <f t="shared" ca="1" si="4"/>
        <v>0</v>
      </c>
      <c r="Q40" s="25">
        <f t="shared" ca="1" si="5"/>
        <v>0</v>
      </c>
      <c r="R40" s="24">
        <f ca="1">IF(AND(P40=0,Q40=0),0,IFERROR(MAX(ROUNDUP(P40/INDEX(tblClusters[vCPU / noeud (deduit)],MATCH($B40,tblClusters[Cluster],0)),0),ROUNDUP(Q40/INDEX(tblClusters[RAM / noeud - Go (deduit)],MATCH($B40,tblClusters[Cluster],0)),0)),"Flavor a definir"))</f>
        <v>0</v>
      </c>
    </row>
    <row r="41" spans="1:18" x14ac:dyDescent="0.2">
      <c r="A41" s="38">
        <v>46388</v>
      </c>
      <c r="B41" s="21" t="s">
        <v>161</v>
      </c>
      <c r="C41" s="28" t="str">
        <f>IFERROR(INDEX(tblClusters[Utilisation],MATCH($B41,tblClusters[Cluster],0)),"")</f>
        <v>Mutualise Secret GIE France</v>
      </c>
      <c r="D41" s="28" t="str">
        <f>IFERROR(INDEX(tblClusters[Type (deduit)],MATCH($B41,tblClusters[Cluster],0)),"")</f>
        <v>Mutualise</v>
      </c>
      <c r="E41" s="24">
        <f>IFERROR(INDEX(tblClusters[CPU max (cores)],MATCH($B41,tblClusters[Cluster],0)),0)</f>
        <v>48</v>
      </c>
      <c r="F41" s="24">
        <f>IFERROR(INDEX(tblClusters[RAM max (Go)],MATCH($B41,tblClusters[Cluster],0)),0)</f>
        <v>240</v>
      </c>
      <c r="G41" s="24">
        <f>IFERROR(INDEX(tblClusters[Charge existante CPU hors migration],MATCH($B41,tblClusters[Cluster],0)),0)</f>
        <v>0</v>
      </c>
      <c r="H41" s="24">
        <f>IFERROR(INDEX(tblClusters[Charge existante RAM hors migration (Go)],MATCH($B41,tblClusters[Cluster],0)),0)</f>
        <v>0</v>
      </c>
      <c r="I41" s="24">
        <f ca="1">SUMIFS(tblApplications[CPU cible ROKS],tblApplications[Cluster ROKS cible (auto)],$B41,tblApplications[Mois de bascule prevu],"&lt;="&amp;EOMONTH($A41,0),tblApplications[Inclus projection O/N],"O")</f>
        <v>0</v>
      </c>
      <c r="J41" s="24">
        <f ca="1">SUMIFS(tblApplications[RAM cible ROKS],tblApplications[Cluster ROKS cible (auto)],$B41,tblApplications[Mois de bascule prevu],"&lt;="&amp;EOMONTH($A41,0),tblApplications[Inclus projection O/N],"O")</f>
        <v>0</v>
      </c>
      <c r="K41" s="25">
        <f t="shared" ca="1" si="0"/>
        <v>0</v>
      </c>
      <c r="L41" s="25">
        <f t="shared" ca="1" si="1"/>
        <v>0</v>
      </c>
      <c r="M41" s="26">
        <f t="shared" ca="1" si="2"/>
        <v>0</v>
      </c>
      <c r="N41" s="26">
        <f t="shared" ca="1" si="3"/>
        <v>0</v>
      </c>
      <c r="O41" s="22" t="str">
        <f ca="1">IF(E41=0,IF(K41&gt;0,"Cluster sans capacite provisionnee","n/a"),IF(OR(M41&gt;=Clusters_ROKS!$AC$5,N41&gt;=Clusters_ROKS!$AC$5),"Seuil depasse","OK"))</f>
        <v>OK</v>
      </c>
      <c r="P41" s="25">
        <f t="shared" ca="1" si="4"/>
        <v>0</v>
      </c>
      <c r="Q41" s="25">
        <f t="shared" ca="1" si="5"/>
        <v>0</v>
      </c>
      <c r="R41" s="24">
        <f ca="1">IF(AND(P41=0,Q41=0),0,IFERROR(MAX(ROUNDUP(P41/INDEX(tblClusters[vCPU / noeud (deduit)],MATCH($B41,tblClusters[Cluster],0)),0),ROUNDUP(Q41/INDEX(tblClusters[RAM / noeud - Go (deduit)],MATCH($B41,tblClusters[Cluster],0)),0)),"Flavor a definir"))</f>
        <v>0</v>
      </c>
    </row>
    <row r="42" spans="1:18" x14ac:dyDescent="0.2">
      <c r="A42" s="38">
        <v>46419</v>
      </c>
      <c r="B42" s="21" t="s">
        <v>161</v>
      </c>
      <c r="C42" s="28" t="str">
        <f>IFERROR(INDEX(tblClusters[Utilisation],MATCH($B42,tblClusters[Cluster],0)),"")</f>
        <v>Mutualise Secret GIE France</v>
      </c>
      <c r="D42" s="28" t="str">
        <f>IFERROR(INDEX(tblClusters[Type (deduit)],MATCH($B42,tblClusters[Cluster],0)),"")</f>
        <v>Mutualise</v>
      </c>
      <c r="E42" s="24">
        <f>IFERROR(INDEX(tblClusters[CPU max (cores)],MATCH($B42,tblClusters[Cluster],0)),0)</f>
        <v>48</v>
      </c>
      <c r="F42" s="24">
        <f>IFERROR(INDEX(tblClusters[RAM max (Go)],MATCH($B42,tblClusters[Cluster],0)),0)</f>
        <v>240</v>
      </c>
      <c r="G42" s="24">
        <f>IFERROR(INDEX(tblClusters[Charge existante CPU hors migration],MATCH($B42,tblClusters[Cluster],0)),0)</f>
        <v>0</v>
      </c>
      <c r="H42" s="24">
        <f>IFERROR(INDEX(tblClusters[Charge existante RAM hors migration (Go)],MATCH($B42,tblClusters[Cluster],0)),0)</f>
        <v>0</v>
      </c>
      <c r="I42" s="24">
        <f ca="1">SUMIFS(tblApplications[CPU cible ROKS],tblApplications[Cluster ROKS cible (auto)],$B42,tblApplications[Mois de bascule prevu],"&lt;="&amp;EOMONTH($A42,0),tblApplications[Inclus projection O/N],"O")</f>
        <v>0</v>
      </c>
      <c r="J42" s="24">
        <f ca="1">SUMIFS(tblApplications[RAM cible ROKS],tblApplications[Cluster ROKS cible (auto)],$B42,tblApplications[Mois de bascule prevu],"&lt;="&amp;EOMONTH($A42,0),tblApplications[Inclus projection O/N],"O")</f>
        <v>0</v>
      </c>
      <c r="K42" s="25">
        <f t="shared" ca="1" si="0"/>
        <v>0</v>
      </c>
      <c r="L42" s="25">
        <f t="shared" ca="1" si="1"/>
        <v>0</v>
      </c>
      <c r="M42" s="26">
        <f t="shared" ca="1" si="2"/>
        <v>0</v>
      </c>
      <c r="N42" s="26">
        <f t="shared" ca="1" si="3"/>
        <v>0</v>
      </c>
      <c r="O42" s="22" t="str">
        <f ca="1">IF(E42=0,IF(K42&gt;0,"Cluster sans capacite provisionnee","n/a"),IF(OR(M42&gt;=Clusters_ROKS!$AC$5,N42&gt;=Clusters_ROKS!$AC$5),"Seuil depasse","OK"))</f>
        <v>OK</v>
      </c>
      <c r="P42" s="25">
        <f t="shared" ca="1" si="4"/>
        <v>0</v>
      </c>
      <c r="Q42" s="25">
        <f t="shared" ca="1" si="5"/>
        <v>0</v>
      </c>
      <c r="R42" s="24">
        <f ca="1">IF(AND(P42=0,Q42=0),0,IFERROR(MAX(ROUNDUP(P42/INDEX(tblClusters[vCPU / noeud (deduit)],MATCH($B42,tblClusters[Cluster],0)),0),ROUNDUP(Q42/INDEX(tblClusters[RAM / noeud - Go (deduit)],MATCH($B42,tblClusters[Cluster],0)),0)),"Flavor a definir"))</f>
        <v>0</v>
      </c>
    </row>
    <row r="43" spans="1:18" x14ac:dyDescent="0.2">
      <c r="A43" s="38">
        <v>46447</v>
      </c>
      <c r="B43" s="21" t="s">
        <v>161</v>
      </c>
      <c r="C43" s="28" t="str">
        <f>IFERROR(INDEX(tblClusters[Utilisation],MATCH($B43,tblClusters[Cluster],0)),"")</f>
        <v>Mutualise Secret GIE France</v>
      </c>
      <c r="D43" s="28" t="str">
        <f>IFERROR(INDEX(tblClusters[Type (deduit)],MATCH($B43,tblClusters[Cluster],0)),"")</f>
        <v>Mutualise</v>
      </c>
      <c r="E43" s="24">
        <f>IFERROR(INDEX(tblClusters[CPU max (cores)],MATCH($B43,tblClusters[Cluster],0)),0)</f>
        <v>48</v>
      </c>
      <c r="F43" s="24">
        <f>IFERROR(INDEX(tblClusters[RAM max (Go)],MATCH($B43,tblClusters[Cluster],0)),0)</f>
        <v>240</v>
      </c>
      <c r="G43" s="24">
        <f>IFERROR(INDEX(tblClusters[Charge existante CPU hors migration],MATCH($B43,tblClusters[Cluster],0)),0)</f>
        <v>0</v>
      </c>
      <c r="H43" s="24">
        <f>IFERROR(INDEX(tblClusters[Charge existante RAM hors migration (Go)],MATCH($B43,tblClusters[Cluster],0)),0)</f>
        <v>0</v>
      </c>
      <c r="I43" s="24">
        <f ca="1">SUMIFS(tblApplications[CPU cible ROKS],tblApplications[Cluster ROKS cible (auto)],$B43,tblApplications[Mois de bascule prevu],"&lt;="&amp;EOMONTH($A43,0),tblApplications[Inclus projection O/N],"O")</f>
        <v>0</v>
      </c>
      <c r="J43" s="24">
        <f ca="1">SUMIFS(tblApplications[RAM cible ROKS],tblApplications[Cluster ROKS cible (auto)],$B43,tblApplications[Mois de bascule prevu],"&lt;="&amp;EOMONTH($A43,0),tblApplications[Inclus projection O/N],"O")</f>
        <v>0</v>
      </c>
      <c r="K43" s="25">
        <f t="shared" ca="1" si="0"/>
        <v>0</v>
      </c>
      <c r="L43" s="25">
        <f t="shared" ca="1" si="1"/>
        <v>0</v>
      </c>
      <c r="M43" s="26">
        <f t="shared" ca="1" si="2"/>
        <v>0</v>
      </c>
      <c r="N43" s="26">
        <f t="shared" ca="1" si="3"/>
        <v>0</v>
      </c>
      <c r="O43" s="22" t="str">
        <f ca="1">IF(E43=0,IF(K43&gt;0,"Cluster sans capacite provisionnee","n/a"),IF(OR(M43&gt;=Clusters_ROKS!$AC$5,N43&gt;=Clusters_ROKS!$AC$5),"Seuil depasse","OK"))</f>
        <v>OK</v>
      </c>
      <c r="P43" s="25">
        <f t="shared" ca="1" si="4"/>
        <v>0</v>
      </c>
      <c r="Q43" s="25">
        <f t="shared" ca="1" si="5"/>
        <v>0</v>
      </c>
      <c r="R43" s="24">
        <f ca="1">IF(AND(P43=0,Q43=0),0,IFERROR(MAX(ROUNDUP(P43/INDEX(tblClusters[vCPU / noeud (deduit)],MATCH($B43,tblClusters[Cluster],0)),0),ROUNDUP(Q43/INDEX(tblClusters[RAM / noeud - Go (deduit)],MATCH($B43,tblClusters[Cluster],0)),0)),"Flavor a definir"))</f>
        <v>0</v>
      </c>
    </row>
    <row r="44" spans="1:18" x14ac:dyDescent="0.2">
      <c r="A44" s="38">
        <v>46478</v>
      </c>
      <c r="B44" s="21" t="s">
        <v>161</v>
      </c>
      <c r="C44" s="28" t="str">
        <f>IFERROR(INDEX(tblClusters[Utilisation],MATCH($B44,tblClusters[Cluster],0)),"")</f>
        <v>Mutualise Secret GIE France</v>
      </c>
      <c r="D44" s="28" t="str">
        <f>IFERROR(INDEX(tblClusters[Type (deduit)],MATCH($B44,tblClusters[Cluster],0)),"")</f>
        <v>Mutualise</v>
      </c>
      <c r="E44" s="24">
        <f>IFERROR(INDEX(tblClusters[CPU max (cores)],MATCH($B44,tblClusters[Cluster],0)),0)</f>
        <v>48</v>
      </c>
      <c r="F44" s="24">
        <f>IFERROR(INDEX(tblClusters[RAM max (Go)],MATCH($B44,tblClusters[Cluster],0)),0)</f>
        <v>240</v>
      </c>
      <c r="G44" s="24">
        <f>IFERROR(INDEX(tblClusters[Charge existante CPU hors migration],MATCH($B44,tblClusters[Cluster],0)),0)</f>
        <v>0</v>
      </c>
      <c r="H44" s="24">
        <f>IFERROR(INDEX(tblClusters[Charge existante RAM hors migration (Go)],MATCH($B44,tblClusters[Cluster],0)),0)</f>
        <v>0</v>
      </c>
      <c r="I44" s="24">
        <f ca="1">SUMIFS(tblApplications[CPU cible ROKS],tblApplications[Cluster ROKS cible (auto)],$B44,tblApplications[Mois de bascule prevu],"&lt;="&amp;EOMONTH($A44,0),tblApplications[Inclus projection O/N],"O")</f>
        <v>0</v>
      </c>
      <c r="J44" s="24">
        <f ca="1">SUMIFS(tblApplications[RAM cible ROKS],tblApplications[Cluster ROKS cible (auto)],$B44,tblApplications[Mois de bascule prevu],"&lt;="&amp;EOMONTH($A44,0),tblApplications[Inclus projection O/N],"O")</f>
        <v>0</v>
      </c>
      <c r="K44" s="25">
        <f t="shared" ca="1" si="0"/>
        <v>0</v>
      </c>
      <c r="L44" s="25">
        <f t="shared" ca="1" si="1"/>
        <v>0</v>
      </c>
      <c r="M44" s="26">
        <f t="shared" ca="1" si="2"/>
        <v>0</v>
      </c>
      <c r="N44" s="26">
        <f t="shared" ca="1" si="3"/>
        <v>0</v>
      </c>
      <c r="O44" s="22" t="str">
        <f ca="1">IF(E44=0,IF(K44&gt;0,"Cluster sans capacite provisionnee","n/a"),IF(OR(M44&gt;=Clusters_ROKS!$AC$5,N44&gt;=Clusters_ROKS!$AC$5),"Seuil depasse","OK"))</f>
        <v>OK</v>
      </c>
      <c r="P44" s="25">
        <f t="shared" ca="1" si="4"/>
        <v>0</v>
      </c>
      <c r="Q44" s="25">
        <f t="shared" ca="1" si="5"/>
        <v>0</v>
      </c>
      <c r="R44" s="24">
        <f ca="1">IF(AND(P44=0,Q44=0),0,IFERROR(MAX(ROUNDUP(P44/INDEX(tblClusters[vCPU / noeud (deduit)],MATCH($B44,tblClusters[Cluster],0)),0),ROUNDUP(Q44/INDEX(tblClusters[RAM / noeud - Go (deduit)],MATCH($B44,tblClusters[Cluster],0)),0)),"Flavor a definir"))</f>
        <v>0</v>
      </c>
    </row>
    <row r="45" spans="1:18" x14ac:dyDescent="0.2">
      <c r="A45" s="38">
        <v>46508</v>
      </c>
      <c r="B45" s="21" t="s">
        <v>161</v>
      </c>
      <c r="C45" s="28" t="str">
        <f>IFERROR(INDEX(tblClusters[Utilisation],MATCH($B45,tblClusters[Cluster],0)),"")</f>
        <v>Mutualise Secret GIE France</v>
      </c>
      <c r="D45" s="28" t="str">
        <f>IFERROR(INDEX(tblClusters[Type (deduit)],MATCH($B45,tblClusters[Cluster],0)),"")</f>
        <v>Mutualise</v>
      </c>
      <c r="E45" s="24">
        <f>IFERROR(INDEX(tblClusters[CPU max (cores)],MATCH($B45,tblClusters[Cluster],0)),0)</f>
        <v>48</v>
      </c>
      <c r="F45" s="24">
        <f>IFERROR(INDEX(tblClusters[RAM max (Go)],MATCH($B45,tblClusters[Cluster],0)),0)</f>
        <v>240</v>
      </c>
      <c r="G45" s="24">
        <f>IFERROR(INDEX(tblClusters[Charge existante CPU hors migration],MATCH($B45,tblClusters[Cluster],0)),0)</f>
        <v>0</v>
      </c>
      <c r="H45" s="24">
        <f>IFERROR(INDEX(tblClusters[Charge existante RAM hors migration (Go)],MATCH($B45,tblClusters[Cluster],0)),0)</f>
        <v>0</v>
      </c>
      <c r="I45" s="24">
        <f ca="1">SUMIFS(tblApplications[CPU cible ROKS],tblApplications[Cluster ROKS cible (auto)],$B45,tblApplications[Mois de bascule prevu],"&lt;="&amp;EOMONTH($A45,0),tblApplications[Inclus projection O/N],"O")</f>
        <v>0</v>
      </c>
      <c r="J45" s="24">
        <f ca="1">SUMIFS(tblApplications[RAM cible ROKS],tblApplications[Cluster ROKS cible (auto)],$B45,tblApplications[Mois de bascule prevu],"&lt;="&amp;EOMONTH($A45,0),tblApplications[Inclus projection O/N],"O")</f>
        <v>0</v>
      </c>
      <c r="K45" s="25">
        <f t="shared" ca="1" si="0"/>
        <v>0</v>
      </c>
      <c r="L45" s="25">
        <f t="shared" ca="1" si="1"/>
        <v>0</v>
      </c>
      <c r="M45" s="26">
        <f t="shared" ca="1" si="2"/>
        <v>0</v>
      </c>
      <c r="N45" s="26">
        <f t="shared" ca="1" si="3"/>
        <v>0</v>
      </c>
      <c r="O45" s="22" t="str">
        <f ca="1">IF(E45=0,IF(K45&gt;0,"Cluster sans capacite provisionnee","n/a"),IF(OR(M45&gt;=Clusters_ROKS!$AC$5,N45&gt;=Clusters_ROKS!$AC$5),"Seuil depasse","OK"))</f>
        <v>OK</v>
      </c>
      <c r="P45" s="25">
        <f t="shared" ca="1" si="4"/>
        <v>0</v>
      </c>
      <c r="Q45" s="25">
        <f t="shared" ca="1" si="5"/>
        <v>0</v>
      </c>
      <c r="R45" s="24">
        <f ca="1">IF(AND(P45=0,Q45=0),0,IFERROR(MAX(ROUNDUP(P45/INDEX(tblClusters[vCPU / noeud (deduit)],MATCH($B45,tblClusters[Cluster],0)),0),ROUNDUP(Q45/INDEX(tblClusters[RAM / noeud - Go (deduit)],MATCH($B45,tblClusters[Cluster],0)),0)),"Flavor a definir"))</f>
        <v>0</v>
      </c>
    </row>
    <row r="46" spans="1:18" x14ac:dyDescent="0.2">
      <c r="A46" s="38">
        <v>46539</v>
      </c>
      <c r="B46" s="21" t="s">
        <v>161</v>
      </c>
      <c r="C46" s="28" t="str">
        <f>IFERROR(INDEX(tblClusters[Utilisation],MATCH($B46,tblClusters[Cluster],0)),"")</f>
        <v>Mutualise Secret GIE France</v>
      </c>
      <c r="D46" s="28" t="str">
        <f>IFERROR(INDEX(tblClusters[Type (deduit)],MATCH($B46,tblClusters[Cluster],0)),"")</f>
        <v>Mutualise</v>
      </c>
      <c r="E46" s="24">
        <f>IFERROR(INDEX(tblClusters[CPU max (cores)],MATCH($B46,tblClusters[Cluster],0)),0)</f>
        <v>48</v>
      </c>
      <c r="F46" s="24">
        <f>IFERROR(INDEX(tblClusters[RAM max (Go)],MATCH($B46,tblClusters[Cluster],0)),0)</f>
        <v>240</v>
      </c>
      <c r="G46" s="24">
        <f>IFERROR(INDEX(tblClusters[Charge existante CPU hors migration],MATCH($B46,tblClusters[Cluster],0)),0)</f>
        <v>0</v>
      </c>
      <c r="H46" s="24">
        <f>IFERROR(INDEX(tblClusters[Charge existante RAM hors migration (Go)],MATCH($B46,tblClusters[Cluster],0)),0)</f>
        <v>0</v>
      </c>
      <c r="I46" s="24">
        <f ca="1">SUMIFS(tblApplications[CPU cible ROKS],tblApplications[Cluster ROKS cible (auto)],$B46,tblApplications[Mois de bascule prevu],"&lt;="&amp;EOMONTH($A46,0),tblApplications[Inclus projection O/N],"O")</f>
        <v>0</v>
      </c>
      <c r="J46" s="24">
        <f ca="1">SUMIFS(tblApplications[RAM cible ROKS],tblApplications[Cluster ROKS cible (auto)],$B46,tblApplications[Mois de bascule prevu],"&lt;="&amp;EOMONTH($A46,0),tblApplications[Inclus projection O/N],"O")</f>
        <v>0</v>
      </c>
      <c r="K46" s="25">
        <f t="shared" ca="1" si="0"/>
        <v>0</v>
      </c>
      <c r="L46" s="25">
        <f t="shared" ca="1" si="1"/>
        <v>0</v>
      </c>
      <c r="M46" s="26">
        <f t="shared" ca="1" si="2"/>
        <v>0</v>
      </c>
      <c r="N46" s="26">
        <f t="shared" ca="1" si="3"/>
        <v>0</v>
      </c>
      <c r="O46" s="22" t="str">
        <f ca="1">IF(E46=0,IF(K46&gt;0,"Cluster sans capacite provisionnee","n/a"),IF(OR(M46&gt;=Clusters_ROKS!$AC$5,N46&gt;=Clusters_ROKS!$AC$5),"Seuil depasse","OK"))</f>
        <v>OK</v>
      </c>
      <c r="P46" s="25">
        <f t="shared" ca="1" si="4"/>
        <v>0</v>
      </c>
      <c r="Q46" s="25">
        <f t="shared" ca="1" si="5"/>
        <v>0</v>
      </c>
      <c r="R46" s="24">
        <f ca="1">IF(AND(P46=0,Q46=0),0,IFERROR(MAX(ROUNDUP(P46/INDEX(tblClusters[vCPU / noeud (deduit)],MATCH($B46,tblClusters[Cluster],0)),0),ROUNDUP(Q46/INDEX(tblClusters[RAM / noeud - Go (deduit)],MATCH($B46,tblClusters[Cluster],0)),0)),"Flavor a definir"))</f>
        <v>0</v>
      </c>
    </row>
    <row r="47" spans="1:18" x14ac:dyDescent="0.2">
      <c r="A47" s="38">
        <v>46569</v>
      </c>
      <c r="B47" s="21" t="s">
        <v>161</v>
      </c>
      <c r="C47" s="28" t="str">
        <f>IFERROR(INDEX(tblClusters[Utilisation],MATCH($B47,tblClusters[Cluster],0)),"")</f>
        <v>Mutualise Secret GIE France</v>
      </c>
      <c r="D47" s="28" t="str">
        <f>IFERROR(INDEX(tblClusters[Type (deduit)],MATCH($B47,tblClusters[Cluster],0)),"")</f>
        <v>Mutualise</v>
      </c>
      <c r="E47" s="24">
        <f>IFERROR(INDEX(tblClusters[CPU max (cores)],MATCH($B47,tblClusters[Cluster],0)),0)</f>
        <v>48</v>
      </c>
      <c r="F47" s="24">
        <f>IFERROR(INDEX(tblClusters[RAM max (Go)],MATCH($B47,tblClusters[Cluster],0)),0)</f>
        <v>240</v>
      </c>
      <c r="G47" s="24">
        <f>IFERROR(INDEX(tblClusters[Charge existante CPU hors migration],MATCH($B47,tblClusters[Cluster],0)),0)</f>
        <v>0</v>
      </c>
      <c r="H47" s="24">
        <f>IFERROR(INDEX(tblClusters[Charge existante RAM hors migration (Go)],MATCH($B47,tblClusters[Cluster],0)),0)</f>
        <v>0</v>
      </c>
      <c r="I47" s="24">
        <f ca="1">SUMIFS(tblApplications[CPU cible ROKS],tblApplications[Cluster ROKS cible (auto)],$B47,tblApplications[Mois de bascule prevu],"&lt;="&amp;EOMONTH($A47,0),tblApplications[Inclus projection O/N],"O")</f>
        <v>0</v>
      </c>
      <c r="J47" s="24">
        <f ca="1">SUMIFS(tblApplications[RAM cible ROKS],tblApplications[Cluster ROKS cible (auto)],$B47,tblApplications[Mois de bascule prevu],"&lt;="&amp;EOMONTH($A47,0),tblApplications[Inclus projection O/N],"O")</f>
        <v>0</v>
      </c>
      <c r="K47" s="25">
        <f t="shared" ca="1" si="0"/>
        <v>0</v>
      </c>
      <c r="L47" s="25">
        <f t="shared" ca="1" si="1"/>
        <v>0</v>
      </c>
      <c r="M47" s="26">
        <f t="shared" ca="1" si="2"/>
        <v>0</v>
      </c>
      <c r="N47" s="26">
        <f t="shared" ca="1" si="3"/>
        <v>0</v>
      </c>
      <c r="O47" s="22" t="str">
        <f ca="1">IF(E47=0,IF(K47&gt;0,"Cluster sans capacite provisionnee","n/a"),IF(OR(M47&gt;=Clusters_ROKS!$AC$5,N47&gt;=Clusters_ROKS!$AC$5),"Seuil depasse","OK"))</f>
        <v>OK</v>
      </c>
      <c r="P47" s="25">
        <f t="shared" ca="1" si="4"/>
        <v>0</v>
      </c>
      <c r="Q47" s="25">
        <f t="shared" ca="1" si="5"/>
        <v>0</v>
      </c>
      <c r="R47" s="24">
        <f ca="1">IF(AND(P47=0,Q47=0),0,IFERROR(MAX(ROUNDUP(P47/INDEX(tblClusters[vCPU / noeud (deduit)],MATCH($B47,tblClusters[Cluster],0)),0),ROUNDUP(Q47/INDEX(tblClusters[RAM / noeud - Go (deduit)],MATCH($B47,tblClusters[Cluster],0)),0)),"Flavor a definir"))</f>
        <v>0</v>
      </c>
    </row>
    <row r="48" spans="1:18" x14ac:dyDescent="0.2">
      <c r="A48" s="38">
        <v>46600</v>
      </c>
      <c r="B48" s="21" t="s">
        <v>161</v>
      </c>
      <c r="C48" s="28" t="str">
        <f>IFERROR(INDEX(tblClusters[Utilisation],MATCH($B48,tblClusters[Cluster],0)),"")</f>
        <v>Mutualise Secret GIE France</v>
      </c>
      <c r="D48" s="28" t="str">
        <f>IFERROR(INDEX(tblClusters[Type (deduit)],MATCH($B48,tblClusters[Cluster],0)),"")</f>
        <v>Mutualise</v>
      </c>
      <c r="E48" s="24">
        <f>IFERROR(INDEX(tblClusters[CPU max (cores)],MATCH($B48,tblClusters[Cluster],0)),0)</f>
        <v>48</v>
      </c>
      <c r="F48" s="24">
        <f>IFERROR(INDEX(tblClusters[RAM max (Go)],MATCH($B48,tblClusters[Cluster],0)),0)</f>
        <v>240</v>
      </c>
      <c r="G48" s="24">
        <f>IFERROR(INDEX(tblClusters[Charge existante CPU hors migration],MATCH($B48,tblClusters[Cluster],0)),0)</f>
        <v>0</v>
      </c>
      <c r="H48" s="24">
        <f>IFERROR(INDEX(tblClusters[Charge existante RAM hors migration (Go)],MATCH($B48,tblClusters[Cluster],0)),0)</f>
        <v>0</v>
      </c>
      <c r="I48" s="24">
        <f ca="1">SUMIFS(tblApplications[CPU cible ROKS],tblApplications[Cluster ROKS cible (auto)],$B48,tblApplications[Mois de bascule prevu],"&lt;="&amp;EOMONTH($A48,0),tblApplications[Inclus projection O/N],"O")</f>
        <v>0</v>
      </c>
      <c r="J48" s="24">
        <f ca="1">SUMIFS(tblApplications[RAM cible ROKS],tblApplications[Cluster ROKS cible (auto)],$B48,tblApplications[Mois de bascule prevu],"&lt;="&amp;EOMONTH($A48,0),tblApplications[Inclus projection O/N],"O")</f>
        <v>0</v>
      </c>
      <c r="K48" s="25">
        <f t="shared" ca="1" si="0"/>
        <v>0</v>
      </c>
      <c r="L48" s="25">
        <f t="shared" ca="1" si="1"/>
        <v>0</v>
      </c>
      <c r="M48" s="26">
        <f t="shared" ca="1" si="2"/>
        <v>0</v>
      </c>
      <c r="N48" s="26">
        <f t="shared" ca="1" si="3"/>
        <v>0</v>
      </c>
      <c r="O48" s="22" t="str">
        <f ca="1">IF(E48=0,IF(K48&gt;0,"Cluster sans capacite provisionnee","n/a"),IF(OR(M48&gt;=Clusters_ROKS!$AC$5,N48&gt;=Clusters_ROKS!$AC$5),"Seuil depasse","OK"))</f>
        <v>OK</v>
      </c>
      <c r="P48" s="25">
        <f t="shared" ca="1" si="4"/>
        <v>0</v>
      </c>
      <c r="Q48" s="25">
        <f t="shared" ca="1" si="5"/>
        <v>0</v>
      </c>
      <c r="R48" s="24">
        <f ca="1">IF(AND(P48=0,Q48=0),0,IFERROR(MAX(ROUNDUP(P48/INDEX(tblClusters[vCPU / noeud (deduit)],MATCH($B48,tblClusters[Cluster],0)),0),ROUNDUP(Q48/INDEX(tblClusters[RAM / noeud - Go (deduit)],MATCH($B48,tblClusters[Cluster],0)),0)),"Flavor a definir"))</f>
        <v>0</v>
      </c>
    </row>
    <row r="49" spans="1:18" x14ac:dyDescent="0.2">
      <c r="A49" s="38">
        <v>46631</v>
      </c>
      <c r="B49" s="21" t="s">
        <v>161</v>
      </c>
      <c r="C49" s="28" t="str">
        <f>IFERROR(INDEX(tblClusters[Utilisation],MATCH($B49,tblClusters[Cluster],0)),"")</f>
        <v>Mutualise Secret GIE France</v>
      </c>
      <c r="D49" s="28" t="str">
        <f>IFERROR(INDEX(tblClusters[Type (deduit)],MATCH($B49,tblClusters[Cluster],0)),"")</f>
        <v>Mutualise</v>
      </c>
      <c r="E49" s="24">
        <f>IFERROR(INDEX(tblClusters[CPU max (cores)],MATCH($B49,tblClusters[Cluster],0)),0)</f>
        <v>48</v>
      </c>
      <c r="F49" s="24">
        <f>IFERROR(INDEX(tblClusters[RAM max (Go)],MATCH($B49,tblClusters[Cluster],0)),0)</f>
        <v>240</v>
      </c>
      <c r="G49" s="24">
        <f>IFERROR(INDEX(tblClusters[Charge existante CPU hors migration],MATCH($B49,tblClusters[Cluster],0)),0)</f>
        <v>0</v>
      </c>
      <c r="H49" s="24">
        <f>IFERROR(INDEX(tblClusters[Charge existante RAM hors migration (Go)],MATCH($B49,tblClusters[Cluster],0)),0)</f>
        <v>0</v>
      </c>
      <c r="I49" s="24">
        <f ca="1">SUMIFS(tblApplications[CPU cible ROKS],tblApplications[Cluster ROKS cible (auto)],$B49,tblApplications[Mois de bascule prevu],"&lt;="&amp;EOMONTH($A49,0),tblApplications[Inclus projection O/N],"O")</f>
        <v>0</v>
      </c>
      <c r="J49" s="24">
        <f ca="1">SUMIFS(tblApplications[RAM cible ROKS],tblApplications[Cluster ROKS cible (auto)],$B49,tblApplications[Mois de bascule prevu],"&lt;="&amp;EOMONTH($A49,0),tblApplications[Inclus projection O/N],"O")</f>
        <v>0</v>
      </c>
      <c r="K49" s="25">
        <f t="shared" ca="1" si="0"/>
        <v>0</v>
      </c>
      <c r="L49" s="25">
        <f t="shared" ca="1" si="1"/>
        <v>0</v>
      </c>
      <c r="M49" s="26">
        <f t="shared" ca="1" si="2"/>
        <v>0</v>
      </c>
      <c r="N49" s="26">
        <f t="shared" ca="1" si="3"/>
        <v>0</v>
      </c>
      <c r="O49" s="22" t="str">
        <f ca="1">IF(E49=0,IF(K49&gt;0,"Cluster sans capacite provisionnee","n/a"),IF(OR(M49&gt;=Clusters_ROKS!$AC$5,N49&gt;=Clusters_ROKS!$AC$5),"Seuil depasse","OK"))</f>
        <v>OK</v>
      </c>
      <c r="P49" s="25">
        <f t="shared" ca="1" si="4"/>
        <v>0</v>
      </c>
      <c r="Q49" s="25">
        <f t="shared" ca="1" si="5"/>
        <v>0</v>
      </c>
      <c r="R49" s="24">
        <f ca="1">IF(AND(P49=0,Q49=0),0,IFERROR(MAX(ROUNDUP(P49/INDEX(tblClusters[vCPU / noeud (deduit)],MATCH($B49,tblClusters[Cluster],0)),0),ROUNDUP(Q49/INDEX(tblClusters[RAM / noeud - Go (deduit)],MATCH($B49,tblClusters[Cluster],0)),0)),"Flavor a definir"))</f>
        <v>0</v>
      </c>
    </row>
    <row r="50" spans="1:18" x14ac:dyDescent="0.2">
      <c r="A50" s="38">
        <v>46661</v>
      </c>
      <c r="B50" s="21" t="s">
        <v>161</v>
      </c>
      <c r="C50" s="28" t="str">
        <f>IFERROR(INDEX(tblClusters[Utilisation],MATCH($B50,tblClusters[Cluster],0)),"")</f>
        <v>Mutualise Secret GIE France</v>
      </c>
      <c r="D50" s="28" t="str">
        <f>IFERROR(INDEX(tblClusters[Type (deduit)],MATCH($B50,tblClusters[Cluster],0)),"")</f>
        <v>Mutualise</v>
      </c>
      <c r="E50" s="24">
        <f>IFERROR(INDEX(tblClusters[CPU max (cores)],MATCH($B50,tblClusters[Cluster],0)),0)</f>
        <v>48</v>
      </c>
      <c r="F50" s="24">
        <f>IFERROR(INDEX(tblClusters[RAM max (Go)],MATCH($B50,tblClusters[Cluster],0)),0)</f>
        <v>240</v>
      </c>
      <c r="G50" s="24">
        <f>IFERROR(INDEX(tblClusters[Charge existante CPU hors migration],MATCH($B50,tblClusters[Cluster],0)),0)</f>
        <v>0</v>
      </c>
      <c r="H50" s="24">
        <f>IFERROR(INDEX(tblClusters[Charge existante RAM hors migration (Go)],MATCH($B50,tblClusters[Cluster],0)),0)</f>
        <v>0</v>
      </c>
      <c r="I50" s="24">
        <f ca="1">SUMIFS(tblApplications[CPU cible ROKS],tblApplications[Cluster ROKS cible (auto)],$B50,tblApplications[Mois de bascule prevu],"&lt;="&amp;EOMONTH($A50,0),tblApplications[Inclus projection O/N],"O")</f>
        <v>0</v>
      </c>
      <c r="J50" s="24">
        <f ca="1">SUMIFS(tblApplications[RAM cible ROKS],tblApplications[Cluster ROKS cible (auto)],$B50,tblApplications[Mois de bascule prevu],"&lt;="&amp;EOMONTH($A50,0),tblApplications[Inclus projection O/N],"O")</f>
        <v>0</v>
      </c>
      <c r="K50" s="25">
        <f t="shared" ca="1" si="0"/>
        <v>0</v>
      </c>
      <c r="L50" s="25">
        <f t="shared" ca="1" si="1"/>
        <v>0</v>
      </c>
      <c r="M50" s="26">
        <f t="shared" ca="1" si="2"/>
        <v>0</v>
      </c>
      <c r="N50" s="26">
        <f t="shared" ca="1" si="3"/>
        <v>0</v>
      </c>
      <c r="O50" s="22" t="str">
        <f ca="1">IF(E50=0,IF(K50&gt;0,"Cluster sans capacite provisionnee","n/a"),IF(OR(M50&gt;=Clusters_ROKS!$AC$5,N50&gt;=Clusters_ROKS!$AC$5),"Seuil depasse","OK"))</f>
        <v>OK</v>
      </c>
      <c r="P50" s="25">
        <f t="shared" ca="1" si="4"/>
        <v>0</v>
      </c>
      <c r="Q50" s="25">
        <f t="shared" ca="1" si="5"/>
        <v>0</v>
      </c>
      <c r="R50" s="24">
        <f ca="1">IF(AND(P50=0,Q50=0),0,IFERROR(MAX(ROUNDUP(P50/INDEX(tblClusters[vCPU / noeud (deduit)],MATCH($B50,tblClusters[Cluster],0)),0),ROUNDUP(Q50/INDEX(tblClusters[RAM / noeud - Go (deduit)],MATCH($B50,tblClusters[Cluster],0)),0)),"Flavor a definir"))</f>
        <v>0</v>
      </c>
    </row>
    <row r="51" spans="1:18" x14ac:dyDescent="0.2">
      <c r="A51" s="38">
        <v>46692</v>
      </c>
      <c r="B51" s="21" t="s">
        <v>161</v>
      </c>
      <c r="C51" s="28" t="str">
        <f>IFERROR(INDEX(tblClusters[Utilisation],MATCH($B51,tblClusters[Cluster],0)),"")</f>
        <v>Mutualise Secret GIE France</v>
      </c>
      <c r="D51" s="28" t="str">
        <f>IFERROR(INDEX(tblClusters[Type (deduit)],MATCH($B51,tblClusters[Cluster],0)),"")</f>
        <v>Mutualise</v>
      </c>
      <c r="E51" s="24">
        <f>IFERROR(INDEX(tblClusters[CPU max (cores)],MATCH($B51,tblClusters[Cluster],0)),0)</f>
        <v>48</v>
      </c>
      <c r="F51" s="24">
        <f>IFERROR(INDEX(tblClusters[RAM max (Go)],MATCH($B51,tblClusters[Cluster],0)),0)</f>
        <v>240</v>
      </c>
      <c r="G51" s="24">
        <f>IFERROR(INDEX(tblClusters[Charge existante CPU hors migration],MATCH($B51,tblClusters[Cluster],0)),0)</f>
        <v>0</v>
      </c>
      <c r="H51" s="24">
        <f>IFERROR(INDEX(tblClusters[Charge existante RAM hors migration (Go)],MATCH($B51,tblClusters[Cluster],0)),0)</f>
        <v>0</v>
      </c>
      <c r="I51" s="24">
        <f ca="1">SUMIFS(tblApplications[CPU cible ROKS],tblApplications[Cluster ROKS cible (auto)],$B51,tblApplications[Mois de bascule prevu],"&lt;="&amp;EOMONTH($A51,0),tblApplications[Inclus projection O/N],"O")</f>
        <v>0</v>
      </c>
      <c r="J51" s="24">
        <f ca="1">SUMIFS(tblApplications[RAM cible ROKS],tblApplications[Cluster ROKS cible (auto)],$B51,tblApplications[Mois de bascule prevu],"&lt;="&amp;EOMONTH($A51,0),tblApplications[Inclus projection O/N],"O")</f>
        <v>0</v>
      </c>
      <c r="K51" s="25">
        <f t="shared" ca="1" si="0"/>
        <v>0</v>
      </c>
      <c r="L51" s="25">
        <f t="shared" ca="1" si="1"/>
        <v>0</v>
      </c>
      <c r="M51" s="26">
        <f t="shared" ca="1" si="2"/>
        <v>0</v>
      </c>
      <c r="N51" s="26">
        <f t="shared" ca="1" si="3"/>
        <v>0</v>
      </c>
      <c r="O51" s="22" t="str">
        <f ca="1">IF(E51=0,IF(K51&gt;0,"Cluster sans capacite provisionnee","n/a"),IF(OR(M51&gt;=Clusters_ROKS!$AC$5,N51&gt;=Clusters_ROKS!$AC$5),"Seuil depasse","OK"))</f>
        <v>OK</v>
      </c>
      <c r="P51" s="25">
        <f t="shared" ca="1" si="4"/>
        <v>0</v>
      </c>
      <c r="Q51" s="25">
        <f t="shared" ca="1" si="5"/>
        <v>0</v>
      </c>
      <c r="R51" s="24">
        <f ca="1">IF(AND(P51=0,Q51=0),0,IFERROR(MAX(ROUNDUP(P51/INDEX(tblClusters[vCPU / noeud (deduit)],MATCH($B51,tblClusters[Cluster],0)),0),ROUNDUP(Q51/INDEX(tblClusters[RAM / noeud - Go (deduit)],MATCH($B51,tblClusters[Cluster],0)),0)),"Flavor a definir"))</f>
        <v>0</v>
      </c>
    </row>
    <row r="52" spans="1:18" x14ac:dyDescent="0.2">
      <c r="A52" s="38">
        <v>46722</v>
      </c>
      <c r="B52" s="21" t="s">
        <v>161</v>
      </c>
      <c r="C52" s="28" t="str">
        <f>IFERROR(INDEX(tblClusters[Utilisation],MATCH($B52,tblClusters[Cluster],0)),"")</f>
        <v>Mutualise Secret GIE France</v>
      </c>
      <c r="D52" s="28" t="str">
        <f>IFERROR(INDEX(tblClusters[Type (deduit)],MATCH($B52,tblClusters[Cluster],0)),"")</f>
        <v>Mutualise</v>
      </c>
      <c r="E52" s="24">
        <f>IFERROR(INDEX(tblClusters[CPU max (cores)],MATCH($B52,tblClusters[Cluster],0)),0)</f>
        <v>48</v>
      </c>
      <c r="F52" s="24">
        <f>IFERROR(INDEX(tblClusters[RAM max (Go)],MATCH($B52,tblClusters[Cluster],0)),0)</f>
        <v>240</v>
      </c>
      <c r="G52" s="24">
        <f>IFERROR(INDEX(tblClusters[Charge existante CPU hors migration],MATCH($B52,tblClusters[Cluster],0)),0)</f>
        <v>0</v>
      </c>
      <c r="H52" s="24">
        <f>IFERROR(INDEX(tblClusters[Charge existante RAM hors migration (Go)],MATCH($B52,tblClusters[Cluster],0)),0)</f>
        <v>0</v>
      </c>
      <c r="I52" s="24">
        <f ca="1">SUMIFS(tblApplications[CPU cible ROKS],tblApplications[Cluster ROKS cible (auto)],$B52,tblApplications[Mois de bascule prevu],"&lt;="&amp;EOMONTH($A52,0),tblApplications[Inclus projection O/N],"O")</f>
        <v>0</v>
      </c>
      <c r="J52" s="24">
        <f ca="1">SUMIFS(tblApplications[RAM cible ROKS],tblApplications[Cluster ROKS cible (auto)],$B52,tblApplications[Mois de bascule prevu],"&lt;="&amp;EOMONTH($A52,0),tblApplications[Inclus projection O/N],"O")</f>
        <v>0</v>
      </c>
      <c r="K52" s="25">
        <f t="shared" ca="1" si="0"/>
        <v>0</v>
      </c>
      <c r="L52" s="25">
        <f t="shared" ca="1" si="1"/>
        <v>0</v>
      </c>
      <c r="M52" s="26">
        <f t="shared" ca="1" si="2"/>
        <v>0</v>
      </c>
      <c r="N52" s="26">
        <f t="shared" ca="1" si="3"/>
        <v>0</v>
      </c>
      <c r="O52" s="22" t="str">
        <f ca="1">IF(E52=0,IF(K52&gt;0,"Cluster sans capacite provisionnee","n/a"),IF(OR(M52&gt;=Clusters_ROKS!$AC$5,N52&gt;=Clusters_ROKS!$AC$5),"Seuil depasse","OK"))</f>
        <v>OK</v>
      </c>
      <c r="P52" s="25">
        <f t="shared" ca="1" si="4"/>
        <v>0</v>
      </c>
      <c r="Q52" s="25">
        <f t="shared" ca="1" si="5"/>
        <v>0</v>
      </c>
      <c r="R52" s="24">
        <f ca="1">IF(AND(P52=0,Q52=0),0,IFERROR(MAX(ROUNDUP(P52/INDEX(tblClusters[vCPU / noeud (deduit)],MATCH($B52,tblClusters[Cluster],0)),0),ROUNDUP(Q52/INDEX(tblClusters[RAM / noeud - Go (deduit)],MATCH($B52,tblClusters[Cluster],0)),0)),"Flavor a definir"))</f>
        <v>0</v>
      </c>
    </row>
    <row r="53" spans="1:18" x14ac:dyDescent="0.2">
      <c r="A53" s="38">
        <v>46388</v>
      </c>
      <c r="B53" s="21" t="s">
        <v>163</v>
      </c>
      <c r="C53" s="28" t="str">
        <f>IFERROR(INDEX(tblClusters[Utilisation],MATCH($B53,tblClusters[Cluster],0)),"")</f>
        <v>Italy No Secret Hors-Prod</v>
      </c>
      <c r="D53" s="28" t="str">
        <f>IFERROR(INDEX(tblClusters[Type (deduit)],MATCH($B53,tblClusters[Cluster],0)),"")</f>
        <v>Dedie</v>
      </c>
      <c r="E53" s="24">
        <f>IFERROR(INDEX(tblClusters[CPU max (cores)],MATCH($B53,tblClusters[Cluster],0)),0)</f>
        <v>48</v>
      </c>
      <c r="F53" s="24">
        <f>IFERROR(INDEX(tblClusters[RAM max (Go)],MATCH($B53,tblClusters[Cluster],0)),0)</f>
        <v>240</v>
      </c>
      <c r="G53" s="24">
        <f>IFERROR(INDEX(tblClusters[Charge existante CPU hors migration],MATCH($B53,tblClusters[Cluster],0)),0)</f>
        <v>0</v>
      </c>
      <c r="H53" s="24">
        <f>IFERROR(INDEX(tblClusters[Charge existante RAM hors migration (Go)],MATCH($B53,tblClusters[Cluster],0)),0)</f>
        <v>0</v>
      </c>
      <c r="I53" s="24">
        <f ca="1">SUMIFS(tblApplications[CPU cible ROKS],tblApplications[Cluster ROKS cible (auto)],$B53,tblApplications[Mois de bascule prevu],"&lt;="&amp;EOMONTH($A53,0),tblApplications[Inclus projection O/N],"O")</f>
        <v>0</v>
      </c>
      <c r="J53" s="24">
        <f ca="1">SUMIFS(tblApplications[RAM cible ROKS],tblApplications[Cluster ROKS cible (auto)],$B53,tblApplications[Mois de bascule prevu],"&lt;="&amp;EOMONTH($A53,0),tblApplications[Inclus projection O/N],"O")</f>
        <v>0</v>
      </c>
      <c r="K53" s="25">
        <f t="shared" ca="1" si="0"/>
        <v>0</v>
      </c>
      <c r="L53" s="25">
        <f t="shared" ca="1" si="1"/>
        <v>0</v>
      </c>
      <c r="M53" s="26">
        <f t="shared" ca="1" si="2"/>
        <v>0</v>
      </c>
      <c r="N53" s="26">
        <f t="shared" ca="1" si="3"/>
        <v>0</v>
      </c>
      <c r="O53" s="22" t="str">
        <f ca="1">IF(E53=0,IF(K53&gt;0,"Cluster sans capacite provisionnee","n/a"),IF(OR(M53&gt;=Clusters_ROKS!$AC$5,N53&gt;=Clusters_ROKS!$AC$5),"Seuil depasse","OK"))</f>
        <v>OK</v>
      </c>
      <c r="P53" s="25">
        <f t="shared" ca="1" si="4"/>
        <v>0</v>
      </c>
      <c r="Q53" s="25">
        <f t="shared" ca="1" si="5"/>
        <v>0</v>
      </c>
      <c r="R53" s="24">
        <f ca="1">IF(AND(P53=0,Q53=0),0,IFERROR(MAX(ROUNDUP(P53/INDEX(tblClusters[vCPU / noeud (deduit)],MATCH($B53,tblClusters[Cluster],0)),0),ROUNDUP(Q53/INDEX(tblClusters[RAM / noeud - Go (deduit)],MATCH($B53,tblClusters[Cluster],0)),0)),"Flavor a definir"))</f>
        <v>0</v>
      </c>
    </row>
    <row r="54" spans="1:18" x14ac:dyDescent="0.2">
      <c r="A54" s="38">
        <v>46419</v>
      </c>
      <c r="B54" s="21" t="s">
        <v>163</v>
      </c>
      <c r="C54" s="28" t="str">
        <f>IFERROR(INDEX(tblClusters[Utilisation],MATCH($B54,tblClusters[Cluster],0)),"")</f>
        <v>Italy No Secret Hors-Prod</v>
      </c>
      <c r="D54" s="28" t="str">
        <f>IFERROR(INDEX(tblClusters[Type (deduit)],MATCH($B54,tblClusters[Cluster],0)),"")</f>
        <v>Dedie</v>
      </c>
      <c r="E54" s="24">
        <f>IFERROR(INDEX(tblClusters[CPU max (cores)],MATCH($B54,tblClusters[Cluster],0)),0)</f>
        <v>48</v>
      </c>
      <c r="F54" s="24">
        <f>IFERROR(INDEX(tblClusters[RAM max (Go)],MATCH($B54,tblClusters[Cluster],0)),0)</f>
        <v>240</v>
      </c>
      <c r="G54" s="24">
        <f>IFERROR(INDEX(tblClusters[Charge existante CPU hors migration],MATCH($B54,tblClusters[Cluster],0)),0)</f>
        <v>0</v>
      </c>
      <c r="H54" s="24">
        <f>IFERROR(INDEX(tblClusters[Charge existante RAM hors migration (Go)],MATCH($B54,tblClusters[Cluster],0)),0)</f>
        <v>0</v>
      </c>
      <c r="I54" s="24">
        <f ca="1">SUMIFS(tblApplications[CPU cible ROKS],tblApplications[Cluster ROKS cible (auto)],$B54,tblApplications[Mois de bascule prevu],"&lt;="&amp;EOMONTH($A54,0),tblApplications[Inclus projection O/N],"O")</f>
        <v>0</v>
      </c>
      <c r="J54" s="24">
        <f ca="1">SUMIFS(tblApplications[RAM cible ROKS],tblApplications[Cluster ROKS cible (auto)],$B54,tblApplications[Mois de bascule prevu],"&lt;="&amp;EOMONTH($A54,0),tblApplications[Inclus projection O/N],"O")</f>
        <v>0</v>
      </c>
      <c r="K54" s="25">
        <f t="shared" ca="1" si="0"/>
        <v>0</v>
      </c>
      <c r="L54" s="25">
        <f t="shared" ca="1" si="1"/>
        <v>0</v>
      </c>
      <c r="M54" s="26">
        <f t="shared" ca="1" si="2"/>
        <v>0</v>
      </c>
      <c r="N54" s="26">
        <f t="shared" ca="1" si="3"/>
        <v>0</v>
      </c>
      <c r="O54" s="22" t="str">
        <f ca="1">IF(E54=0,IF(K54&gt;0,"Cluster sans capacite provisionnee","n/a"),IF(OR(M54&gt;=Clusters_ROKS!$AC$5,N54&gt;=Clusters_ROKS!$AC$5),"Seuil depasse","OK"))</f>
        <v>OK</v>
      </c>
      <c r="P54" s="25">
        <f t="shared" ca="1" si="4"/>
        <v>0</v>
      </c>
      <c r="Q54" s="25">
        <f t="shared" ca="1" si="5"/>
        <v>0</v>
      </c>
      <c r="R54" s="24">
        <f ca="1">IF(AND(P54=0,Q54=0),0,IFERROR(MAX(ROUNDUP(P54/INDEX(tblClusters[vCPU / noeud (deduit)],MATCH($B54,tblClusters[Cluster],0)),0),ROUNDUP(Q54/INDEX(tblClusters[RAM / noeud - Go (deduit)],MATCH($B54,tblClusters[Cluster],0)),0)),"Flavor a definir"))</f>
        <v>0</v>
      </c>
    </row>
    <row r="55" spans="1:18" x14ac:dyDescent="0.2">
      <c r="A55" s="38">
        <v>46447</v>
      </c>
      <c r="B55" s="21" t="s">
        <v>163</v>
      </c>
      <c r="C55" s="28" t="str">
        <f>IFERROR(INDEX(tblClusters[Utilisation],MATCH($B55,tblClusters[Cluster],0)),"")</f>
        <v>Italy No Secret Hors-Prod</v>
      </c>
      <c r="D55" s="28" t="str">
        <f>IFERROR(INDEX(tblClusters[Type (deduit)],MATCH($B55,tblClusters[Cluster],0)),"")</f>
        <v>Dedie</v>
      </c>
      <c r="E55" s="24">
        <f>IFERROR(INDEX(tblClusters[CPU max (cores)],MATCH($B55,tblClusters[Cluster],0)),0)</f>
        <v>48</v>
      </c>
      <c r="F55" s="24">
        <f>IFERROR(INDEX(tblClusters[RAM max (Go)],MATCH($B55,tblClusters[Cluster],0)),0)</f>
        <v>240</v>
      </c>
      <c r="G55" s="24">
        <f>IFERROR(INDEX(tblClusters[Charge existante CPU hors migration],MATCH($B55,tblClusters[Cluster],0)),0)</f>
        <v>0</v>
      </c>
      <c r="H55" s="24">
        <f>IFERROR(INDEX(tblClusters[Charge existante RAM hors migration (Go)],MATCH($B55,tblClusters[Cluster],0)),0)</f>
        <v>0</v>
      </c>
      <c r="I55" s="24">
        <f ca="1">SUMIFS(tblApplications[CPU cible ROKS],tblApplications[Cluster ROKS cible (auto)],$B55,tblApplications[Mois de bascule prevu],"&lt;="&amp;EOMONTH($A55,0),tblApplications[Inclus projection O/N],"O")</f>
        <v>0</v>
      </c>
      <c r="J55" s="24">
        <f ca="1">SUMIFS(tblApplications[RAM cible ROKS],tblApplications[Cluster ROKS cible (auto)],$B55,tblApplications[Mois de bascule prevu],"&lt;="&amp;EOMONTH($A55,0),tblApplications[Inclus projection O/N],"O")</f>
        <v>0</v>
      </c>
      <c r="K55" s="25">
        <f t="shared" ca="1" si="0"/>
        <v>0</v>
      </c>
      <c r="L55" s="25">
        <f t="shared" ca="1" si="1"/>
        <v>0</v>
      </c>
      <c r="M55" s="26">
        <f t="shared" ca="1" si="2"/>
        <v>0</v>
      </c>
      <c r="N55" s="26">
        <f t="shared" ca="1" si="3"/>
        <v>0</v>
      </c>
      <c r="O55" s="22" t="str">
        <f ca="1">IF(E55=0,IF(K55&gt;0,"Cluster sans capacite provisionnee","n/a"),IF(OR(M55&gt;=Clusters_ROKS!$AC$5,N55&gt;=Clusters_ROKS!$AC$5),"Seuil depasse","OK"))</f>
        <v>OK</v>
      </c>
      <c r="P55" s="25">
        <f t="shared" ca="1" si="4"/>
        <v>0</v>
      </c>
      <c r="Q55" s="25">
        <f t="shared" ca="1" si="5"/>
        <v>0</v>
      </c>
      <c r="R55" s="24">
        <f ca="1">IF(AND(P55=0,Q55=0),0,IFERROR(MAX(ROUNDUP(P55/INDEX(tblClusters[vCPU / noeud (deduit)],MATCH($B55,tblClusters[Cluster],0)),0),ROUNDUP(Q55/INDEX(tblClusters[RAM / noeud - Go (deduit)],MATCH($B55,tblClusters[Cluster],0)),0)),"Flavor a definir"))</f>
        <v>0</v>
      </c>
    </row>
    <row r="56" spans="1:18" x14ac:dyDescent="0.2">
      <c r="A56" s="38">
        <v>46478</v>
      </c>
      <c r="B56" s="21" t="s">
        <v>163</v>
      </c>
      <c r="C56" s="28" t="str">
        <f>IFERROR(INDEX(tblClusters[Utilisation],MATCH($B56,tblClusters[Cluster],0)),"")</f>
        <v>Italy No Secret Hors-Prod</v>
      </c>
      <c r="D56" s="28" t="str">
        <f>IFERROR(INDEX(tblClusters[Type (deduit)],MATCH($B56,tblClusters[Cluster],0)),"")</f>
        <v>Dedie</v>
      </c>
      <c r="E56" s="24">
        <f>IFERROR(INDEX(tblClusters[CPU max (cores)],MATCH($B56,tblClusters[Cluster],0)),0)</f>
        <v>48</v>
      </c>
      <c r="F56" s="24">
        <f>IFERROR(INDEX(tblClusters[RAM max (Go)],MATCH($B56,tblClusters[Cluster],0)),0)</f>
        <v>240</v>
      </c>
      <c r="G56" s="24">
        <f>IFERROR(INDEX(tblClusters[Charge existante CPU hors migration],MATCH($B56,tblClusters[Cluster],0)),0)</f>
        <v>0</v>
      </c>
      <c r="H56" s="24">
        <f>IFERROR(INDEX(tblClusters[Charge existante RAM hors migration (Go)],MATCH($B56,tblClusters[Cluster],0)),0)</f>
        <v>0</v>
      </c>
      <c r="I56" s="24">
        <f ca="1">SUMIFS(tblApplications[CPU cible ROKS],tblApplications[Cluster ROKS cible (auto)],$B56,tblApplications[Mois de bascule prevu],"&lt;="&amp;EOMONTH($A56,0),tblApplications[Inclus projection O/N],"O")</f>
        <v>0</v>
      </c>
      <c r="J56" s="24">
        <f ca="1">SUMIFS(tblApplications[RAM cible ROKS],tblApplications[Cluster ROKS cible (auto)],$B56,tblApplications[Mois de bascule prevu],"&lt;="&amp;EOMONTH($A56,0),tblApplications[Inclus projection O/N],"O")</f>
        <v>0</v>
      </c>
      <c r="K56" s="25">
        <f t="shared" ca="1" si="0"/>
        <v>0</v>
      </c>
      <c r="L56" s="25">
        <f t="shared" ca="1" si="1"/>
        <v>0</v>
      </c>
      <c r="M56" s="26">
        <f t="shared" ca="1" si="2"/>
        <v>0</v>
      </c>
      <c r="N56" s="26">
        <f t="shared" ca="1" si="3"/>
        <v>0</v>
      </c>
      <c r="O56" s="22" t="str">
        <f ca="1">IF(E56=0,IF(K56&gt;0,"Cluster sans capacite provisionnee","n/a"),IF(OR(M56&gt;=Clusters_ROKS!$AC$5,N56&gt;=Clusters_ROKS!$AC$5),"Seuil depasse","OK"))</f>
        <v>OK</v>
      </c>
      <c r="P56" s="25">
        <f t="shared" ca="1" si="4"/>
        <v>0</v>
      </c>
      <c r="Q56" s="25">
        <f t="shared" ca="1" si="5"/>
        <v>0</v>
      </c>
      <c r="R56" s="24">
        <f ca="1">IF(AND(P56=0,Q56=0),0,IFERROR(MAX(ROUNDUP(P56/INDEX(tblClusters[vCPU / noeud (deduit)],MATCH($B56,tblClusters[Cluster],0)),0),ROUNDUP(Q56/INDEX(tblClusters[RAM / noeud - Go (deduit)],MATCH($B56,tblClusters[Cluster],0)),0)),"Flavor a definir"))</f>
        <v>0</v>
      </c>
    </row>
    <row r="57" spans="1:18" x14ac:dyDescent="0.2">
      <c r="A57" s="38">
        <v>46508</v>
      </c>
      <c r="B57" s="21" t="s">
        <v>163</v>
      </c>
      <c r="C57" s="28" t="str">
        <f>IFERROR(INDEX(tblClusters[Utilisation],MATCH($B57,tblClusters[Cluster],0)),"")</f>
        <v>Italy No Secret Hors-Prod</v>
      </c>
      <c r="D57" s="28" t="str">
        <f>IFERROR(INDEX(tblClusters[Type (deduit)],MATCH($B57,tblClusters[Cluster],0)),"")</f>
        <v>Dedie</v>
      </c>
      <c r="E57" s="24">
        <f>IFERROR(INDEX(tblClusters[CPU max (cores)],MATCH($B57,tblClusters[Cluster],0)),0)</f>
        <v>48</v>
      </c>
      <c r="F57" s="24">
        <f>IFERROR(INDEX(tblClusters[RAM max (Go)],MATCH($B57,tblClusters[Cluster],0)),0)</f>
        <v>240</v>
      </c>
      <c r="G57" s="24">
        <f>IFERROR(INDEX(tblClusters[Charge existante CPU hors migration],MATCH($B57,tblClusters[Cluster],0)),0)</f>
        <v>0</v>
      </c>
      <c r="H57" s="24">
        <f>IFERROR(INDEX(tblClusters[Charge existante RAM hors migration (Go)],MATCH($B57,tblClusters[Cluster],0)),0)</f>
        <v>0</v>
      </c>
      <c r="I57" s="24">
        <f ca="1">SUMIFS(tblApplications[CPU cible ROKS],tblApplications[Cluster ROKS cible (auto)],$B57,tblApplications[Mois de bascule prevu],"&lt;="&amp;EOMONTH($A57,0),tblApplications[Inclus projection O/N],"O")</f>
        <v>0</v>
      </c>
      <c r="J57" s="24">
        <f ca="1">SUMIFS(tblApplications[RAM cible ROKS],tblApplications[Cluster ROKS cible (auto)],$B57,tblApplications[Mois de bascule prevu],"&lt;="&amp;EOMONTH($A57,0),tblApplications[Inclus projection O/N],"O")</f>
        <v>0</v>
      </c>
      <c r="K57" s="25">
        <f t="shared" ca="1" si="0"/>
        <v>0</v>
      </c>
      <c r="L57" s="25">
        <f t="shared" ca="1" si="1"/>
        <v>0</v>
      </c>
      <c r="M57" s="26">
        <f t="shared" ca="1" si="2"/>
        <v>0</v>
      </c>
      <c r="N57" s="26">
        <f t="shared" ca="1" si="3"/>
        <v>0</v>
      </c>
      <c r="O57" s="22" t="str">
        <f ca="1">IF(E57=0,IF(K57&gt;0,"Cluster sans capacite provisionnee","n/a"),IF(OR(M57&gt;=Clusters_ROKS!$AC$5,N57&gt;=Clusters_ROKS!$AC$5),"Seuil depasse","OK"))</f>
        <v>OK</v>
      </c>
      <c r="P57" s="25">
        <f t="shared" ca="1" si="4"/>
        <v>0</v>
      </c>
      <c r="Q57" s="25">
        <f t="shared" ca="1" si="5"/>
        <v>0</v>
      </c>
      <c r="R57" s="24">
        <f ca="1">IF(AND(P57=0,Q57=0),0,IFERROR(MAX(ROUNDUP(P57/INDEX(tblClusters[vCPU / noeud (deduit)],MATCH($B57,tblClusters[Cluster],0)),0),ROUNDUP(Q57/INDEX(tblClusters[RAM / noeud - Go (deduit)],MATCH($B57,tblClusters[Cluster],0)),0)),"Flavor a definir"))</f>
        <v>0</v>
      </c>
    </row>
    <row r="58" spans="1:18" x14ac:dyDescent="0.2">
      <c r="A58" s="38">
        <v>46539</v>
      </c>
      <c r="B58" s="21" t="s">
        <v>163</v>
      </c>
      <c r="C58" s="28" t="str">
        <f>IFERROR(INDEX(tblClusters[Utilisation],MATCH($B58,tblClusters[Cluster],0)),"")</f>
        <v>Italy No Secret Hors-Prod</v>
      </c>
      <c r="D58" s="28" t="str">
        <f>IFERROR(INDEX(tblClusters[Type (deduit)],MATCH($B58,tblClusters[Cluster],0)),"")</f>
        <v>Dedie</v>
      </c>
      <c r="E58" s="24">
        <f>IFERROR(INDEX(tblClusters[CPU max (cores)],MATCH($B58,tblClusters[Cluster],0)),0)</f>
        <v>48</v>
      </c>
      <c r="F58" s="24">
        <f>IFERROR(INDEX(tblClusters[RAM max (Go)],MATCH($B58,tblClusters[Cluster],0)),0)</f>
        <v>240</v>
      </c>
      <c r="G58" s="24">
        <f>IFERROR(INDEX(tblClusters[Charge existante CPU hors migration],MATCH($B58,tblClusters[Cluster],0)),0)</f>
        <v>0</v>
      </c>
      <c r="H58" s="24">
        <f>IFERROR(INDEX(tblClusters[Charge existante RAM hors migration (Go)],MATCH($B58,tblClusters[Cluster],0)),0)</f>
        <v>0</v>
      </c>
      <c r="I58" s="24">
        <f ca="1">SUMIFS(tblApplications[CPU cible ROKS],tblApplications[Cluster ROKS cible (auto)],$B58,tblApplications[Mois de bascule prevu],"&lt;="&amp;EOMONTH($A58,0),tblApplications[Inclus projection O/N],"O")</f>
        <v>0</v>
      </c>
      <c r="J58" s="24">
        <f ca="1">SUMIFS(tblApplications[RAM cible ROKS],tblApplications[Cluster ROKS cible (auto)],$B58,tblApplications[Mois de bascule prevu],"&lt;="&amp;EOMONTH($A58,0),tblApplications[Inclus projection O/N],"O")</f>
        <v>0</v>
      </c>
      <c r="K58" s="25">
        <f t="shared" ca="1" si="0"/>
        <v>0</v>
      </c>
      <c r="L58" s="25">
        <f t="shared" ca="1" si="1"/>
        <v>0</v>
      </c>
      <c r="M58" s="26">
        <f t="shared" ca="1" si="2"/>
        <v>0</v>
      </c>
      <c r="N58" s="26">
        <f t="shared" ca="1" si="3"/>
        <v>0</v>
      </c>
      <c r="O58" s="22" t="str">
        <f ca="1">IF(E58=0,IF(K58&gt;0,"Cluster sans capacite provisionnee","n/a"),IF(OR(M58&gt;=Clusters_ROKS!$AC$5,N58&gt;=Clusters_ROKS!$AC$5),"Seuil depasse","OK"))</f>
        <v>OK</v>
      </c>
      <c r="P58" s="25">
        <f t="shared" ca="1" si="4"/>
        <v>0</v>
      </c>
      <c r="Q58" s="25">
        <f t="shared" ca="1" si="5"/>
        <v>0</v>
      </c>
      <c r="R58" s="24">
        <f ca="1">IF(AND(P58=0,Q58=0),0,IFERROR(MAX(ROUNDUP(P58/INDEX(tblClusters[vCPU / noeud (deduit)],MATCH($B58,tblClusters[Cluster],0)),0),ROUNDUP(Q58/INDEX(tblClusters[RAM / noeud - Go (deduit)],MATCH($B58,tblClusters[Cluster],0)),0)),"Flavor a definir"))</f>
        <v>0</v>
      </c>
    </row>
    <row r="59" spans="1:18" x14ac:dyDescent="0.2">
      <c r="A59" s="38">
        <v>46569</v>
      </c>
      <c r="B59" s="21" t="s">
        <v>163</v>
      </c>
      <c r="C59" s="28" t="str">
        <f>IFERROR(INDEX(tblClusters[Utilisation],MATCH($B59,tblClusters[Cluster],0)),"")</f>
        <v>Italy No Secret Hors-Prod</v>
      </c>
      <c r="D59" s="28" t="str">
        <f>IFERROR(INDEX(tblClusters[Type (deduit)],MATCH($B59,tblClusters[Cluster],0)),"")</f>
        <v>Dedie</v>
      </c>
      <c r="E59" s="24">
        <f>IFERROR(INDEX(tblClusters[CPU max (cores)],MATCH($B59,tblClusters[Cluster],0)),0)</f>
        <v>48</v>
      </c>
      <c r="F59" s="24">
        <f>IFERROR(INDEX(tblClusters[RAM max (Go)],MATCH($B59,tblClusters[Cluster],0)),0)</f>
        <v>240</v>
      </c>
      <c r="G59" s="24">
        <f>IFERROR(INDEX(tblClusters[Charge existante CPU hors migration],MATCH($B59,tblClusters[Cluster],0)),0)</f>
        <v>0</v>
      </c>
      <c r="H59" s="24">
        <f>IFERROR(INDEX(tblClusters[Charge existante RAM hors migration (Go)],MATCH($B59,tblClusters[Cluster],0)),0)</f>
        <v>0</v>
      </c>
      <c r="I59" s="24">
        <f ca="1">SUMIFS(tblApplications[CPU cible ROKS],tblApplications[Cluster ROKS cible (auto)],$B59,tblApplications[Mois de bascule prevu],"&lt;="&amp;EOMONTH($A59,0),tblApplications[Inclus projection O/N],"O")</f>
        <v>0</v>
      </c>
      <c r="J59" s="24">
        <f ca="1">SUMIFS(tblApplications[RAM cible ROKS],tblApplications[Cluster ROKS cible (auto)],$B59,tblApplications[Mois de bascule prevu],"&lt;="&amp;EOMONTH($A59,0),tblApplications[Inclus projection O/N],"O")</f>
        <v>0</v>
      </c>
      <c r="K59" s="25">
        <f t="shared" ca="1" si="0"/>
        <v>0</v>
      </c>
      <c r="L59" s="25">
        <f t="shared" ca="1" si="1"/>
        <v>0</v>
      </c>
      <c r="M59" s="26">
        <f t="shared" ca="1" si="2"/>
        <v>0</v>
      </c>
      <c r="N59" s="26">
        <f t="shared" ca="1" si="3"/>
        <v>0</v>
      </c>
      <c r="O59" s="22" t="str">
        <f ca="1">IF(E59=0,IF(K59&gt;0,"Cluster sans capacite provisionnee","n/a"),IF(OR(M59&gt;=Clusters_ROKS!$AC$5,N59&gt;=Clusters_ROKS!$AC$5),"Seuil depasse","OK"))</f>
        <v>OK</v>
      </c>
      <c r="P59" s="25">
        <f t="shared" ca="1" si="4"/>
        <v>0</v>
      </c>
      <c r="Q59" s="25">
        <f t="shared" ca="1" si="5"/>
        <v>0</v>
      </c>
      <c r="R59" s="24">
        <f ca="1">IF(AND(P59=0,Q59=0),0,IFERROR(MAX(ROUNDUP(P59/INDEX(tblClusters[vCPU / noeud (deduit)],MATCH($B59,tblClusters[Cluster],0)),0),ROUNDUP(Q59/INDEX(tblClusters[RAM / noeud - Go (deduit)],MATCH($B59,tblClusters[Cluster],0)),0)),"Flavor a definir"))</f>
        <v>0</v>
      </c>
    </row>
    <row r="60" spans="1:18" x14ac:dyDescent="0.2">
      <c r="A60" s="38">
        <v>46600</v>
      </c>
      <c r="B60" s="21" t="s">
        <v>163</v>
      </c>
      <c r="C60" s="28" t="str">
        <f>IFERROR(INDEX(tblClusters[Utilisation],MATCH($B60,tblClusters[Cluster],0)),"")</f>
        <v>Italy No Secret Hors-Prod</v>
      </c>
      <c r="D60" s="28" t="str">
        <f>IFERROR(INDEX(tblClusters[Type (deduit)],MATCH($B60,tblClusters[Cluster],0)),"")</f>
        <v>Dedie</v>
      </c>
      <c r="E60" s="24">
        <f>IFERROR(INDEX(tblClusters[CPU max (cores)],MATCH($B60,tblClusters[Cluster],0)),0)</f>
        <v>48</v>
      </c>
      <c r="F60" s="24">
        <f>IFERROR(INDEX(tblClusters[RAM max (Go)],MATCH($B60,tblClusters[Cluster],0)),0)</f>
        <v>240</v>
      </c>
      <c r="G60" s="24">
        <f>IFERROR(INDEX(tblClusters[Charge existante CPU hors migration],MATCH($B60,tblClusters[Cluster],0)),0)</f>
        <v>0</v>
      </c>
      <c r="H60" s="24">
        <f>IFERROR(INDEX(tblClusters[Charge existante RAM hors migration (Go)],MATCH($B60,tblClusters[Cluster],0)),0)</f>
        <v>0</v>
      </c>
      <c r="I60" s="24">
        <f ca="1">SUMIFS(tblApplications[CPU cible ROKS],tblApplications[Cluster ROKS cible (auto)],$B60,tblApplications[Mois de bascule prevu],"&lt;="&amp;EOMONTH($A60,0),tblApplications[Inclus projection O/N],"O")</f>
        <v>0</v>
      </c>
      <c r="J60" s="24">
        <f ca="1">SUMIFS(tblApplications[RAM cible ROKS],tblApplications[Cluster ROKS cible (auto)],$B60,tblApplications[Mois de bascule prevu],"&lt;="&amp;EOMONTH($A60,0),tblApplications[Inclus projection O/N],"O")</f>
        <v>0</v>
      </c>
      <c r="K60" s="25">
        <f t="shared" ca="1" si="0"/>
        <v>0</v>
      </c>
      <c r="L60" s="25">
        <f t="shared" ca="1" si="1"/>
        <v>0</v>
      </c>
      <c r="M60" s="26">
        <f t="shared" ca="1" si="2"/>
        <v>0</v>
      </c>
      <c r="N60" s="26">
        <f t="shared" ca="1" si="3"/>
        <v>0</v>
      </c>
      <c r="O60" s="22" t="str">
        <f ca="1">IF(E60=0,IF(K60&gt;0,"Cluster sans capacite provisionnee","n/a"),IF(OR(M60&gt;=Clusters_ROKS!$AC$5,N60&gt;=Clusters_ROKS!$AC$5),"Seuil depasse","OK"))</f>
        <v>OK</v>
      </c>
      <c r="P60" s="25">
        <f t="shared" ca="1" si="4"/>
        <v>0</v>
      </c>
      <c r="Q60" s="25">
        <f t="shared" ca="1" si="5"/>
        <v>0</v>
      </c>
      <c r="R60" s="24">
        <f ca="1">IF(AND(P60=0,Q60=0),0,IFERROR(MAX(ROUNDUP(P60/INDEX(tblClusters[vCPU / noeud (deduit)],MATCH($B60,tblClusters[Cluster],0)),0),ROUNDUP(Q60/INDEX(tblClusters[RAM / noeud - Go (deduit)],MATCH($B60,tblClusters[Cluster],0)),0)),"Flavor a definir"))</f>
        <v>0</v>
      </c>
    </row>
    <row r="61" spans="1:18" x14ac:dyDescent="0.2">
      <c r="A61" s="38">
        <v>46631</v>
      </c>
      <c r="B61" s="21" t="s">
        <v>163</v>
      </c>
      <c r="C61" s="28" t="str">
        <f>IFERROR(INDEX(tblClusters[Utilisation],MATCH($B61,tblClusters[Cluster],0)),"")</f>
        <v>Italy No Secret Hors-Prod</v>
      </c>
      <c r="D61" s="28" t="str">
        <f>IFERROR(INDEX(tblClusters[Type (deduit)],MATCH($B61,tblClusters[Cluster],0)),"")</f>
        <v>Dedie</v>
      </c>
      <c r="E61" s="24">
        <f>IFERROR(INDEX(tblClusters[CPU max (cores)],MATCH($B61,tblClusters[Cluster],0)),0)</f>
        <v>48</v>
      </c>
      <c r="F61" s="24">
        <f>IFERROR(INDEX(tblClusters[RAM max (Go)],MATCH($B61,tblClusters[Cluster],0)),0)</f>
        <v>240</v>
      </c>
      <c r="G61" s="24">
        <f>IFERROR(INDEX(tblClusters[Charge existante CPU hors migration],MATCH($B61,tblClusters[Cluster],0)),0)</f>
        <v>0</v>
      </c>
      <c r="H61" s="24">
        <f>IFERROR(INDEX(tblClusters[Charge existante RAM hors migration (Go)],MATCH($B61,tblClusters[Cluster],0)),0)</f>
        <v>0</v>
      </c>
      <c r="I61" s="24">
        <f ca="1">SUMIFS(tblApplications[CPU cible ROKS],tblApplications[Cluster ROKS cible (auto)],$B61,tblApplications[Mois de bascule prevu],"&lt;="&amp;EOMONTH($A61,0),tblApplications[Inclus projection O/N],"O")</f>
        <v>0</v>
      </c>
      <c r="J61" s="24">
        <f ca="1">SUMIFS(tblApplications[RAM cible ROKS],tblApplications[Cluster ROKS cible (auto)],$B61,tblApplications[Mois de bascule prevu],"&lt;="&amp;EOMONTH($A61,0),tblApplications[Inclus projection O/N],"O")</f>
        <v>0</v>
      </c>
      <c r="K61" s="25">
        <f t="shared" ca="1" si="0"/>
        <v>0</v>
      </c>
      <c r="L61" s="25">
        <f t="shared" ca="1" si="1"/>
        <v>0</v>
      </c>
      <c r="M61" s="26">
        <f t="shared" ca="1" si="2"/>
        <v>0</v>
      </c>
      <c r="N61" s="26">
        <f t="shared" ca="1" si="3"/>
        <v>0</v>
      </c>
      <c r="O61" s="22" t="str">
        <f ca="1">IF(E61=0,IF(K61&gt;0,"Cluster sans capacite provisionnee","n/a"),IF(OR(M61&gt;=Clusters_ROKS!$AC$5,N61&gt;=Clusters_ROKS!$AC$5),"Seuil depasse","OK"))</f>
        <v>OK</v>
      </c>
      <c r="P61" s="25">
        <f t="shared" ca="1" si="4"/>
        <v>0</v>
      </c>
      <c r="Q61" s="25">
        <f t="shared" ca="1" si="5"/>
        <v>0</v>
      </c>
      <c r="R61" s="24">
        <f ca="1">IF(AND(P61=0,Q61=0),0,IFERROR(MAX(ROUNDUP(P61/INDEX(tblClusters[vCPU / noeud (deduit)],MATCH($B61,tblClusters[Cluster],0)),0),ROUNDUP(Q61/INDEX(tblClusters[RAM / noeud - Go (deduit)],MATCH($B61,tblClusters[Cluster],0)),0)),"Flavor a definir"))</f>
        <v>0</v>
      </c>
    </row>
    <row r="62" spans="1:18" x14ac:dyDescent="0.2">
      <c r="A62" s="38">
        <v>46661</v>
      </c>
      <c r="B62" s="21" t="s">
        <v>163</v>
      </c>
      <c r="C62" s="28" t="str">
        <f>IFERROR(INDEX(tblClusters[Utilisation],MATCH($B62,tblClusters[Cluster],0)),"")</f>
        <v>Italy No Secret Hors-Prod</v>
      </c>
      <c r="D62" s="28" t="str">
        <f>IFERROR(INDEX(tblClusters[Type (deduit)],MATCH($B62,tblClusters[Cluster],0)),"")</f>
        <v>Dedie</v>
      </c>
      <c r="E62" s="24">
        <f>IFERROR(INDEX(tblClusters[CPU max (cores)],MATCH($B62,tblClusters[Cluster],0)),0)</f>
        <v>48</v>
      </c>
      <c r="F62" s="24">
        <f>IFERROR(INDEX(tblClusters[RAM max (Go)],MATCH($B62,tblClusters[Cluster],0)),0)</f>
        <v>240</v>
      </c>
      <c r="G62" s="24">
        <f>IFERROR(INDEX(tblClusters[Charge existante CPU hors migration],MATCH($B62,tblClusters[Cluster],0)),0)</f>
        <v>0</v>
      </c>
      <c r="H62" s="24">
        <f>IFERROR(INDEX(tblClusters[Charge existante RAM hors migration (Go)],MATCH($B62,tblClusters[Cluster],0)),0)</f>
        <v>0</v>
      </c>
      <c r="I62" s="24">
        <f ca="1">SUMIFS(tblApplications[CPU cible ROKS],tblApplications[Cluster ROKS cible (auto)],$B62,tblApplications[Mois de bascule prevu],"&lt;="&amp;EOMONTH($A62,0),tblApplications[Inclus projection O/N],"O")</f>
        <v>0</v>
      </c>
      <c r="J62" s="24">
        <f ca="1">SUMIFS(tblApplications[RAM cible ROKS],tblApplications[Cluster ROKS cible (auto)],$B62,tblApplications[Mois de bascule prevu],"&lt;="&amp;EOMONTH($A62,0),tblApplications[Inclus projection O/N],"O")</f>
        <v>0</v>
      </c>
      <c r="K62" s="25">
        <f t="shared" ca="1" si="0"/>
        <v>0</v>
      </c>
      <c r="L62" s="25">
        <f t="shared" ca="1" si="1"/>
        <v>0</v>
      </c>
      <c r="M62" s="26">
        <f t="shared" ca="1" si="2"/>
        <v>0</v>
      </c>
      <c r="N62" s="26">
        <f t="shared" ca="1" si="3"/>
        <v>0</v>
      </c>
      <c r="O62" s="22" t="str">
        <f ca="1">IF(E62=0,IF(K62&gt;0,"Cluster sans capacite provisionnee","n/a"),IF(OR(M62&gt;=Clusters_ROKS!$AC$5,N62&gt;=Clusters_ROKS!$AC$5),"Seuil depasse","OK"))</f>
        <v>OK</v>
      </c>
      <c r="P62" s="25">
        <f t="shared" ca="1" si="4"/>
        <v>0</v>
      </c>
      <c r="Q62" s="25">
        <f t="shared" ca="1" si="5"/>
        <v>0</v>
      </c>
      <c r="R62" s="24">
        <f ca="1">IF(AND(P62=0,Q62=0),0,IFERROR(MAX(ROUNDUP(P62/INDEX(tblClusters[vCPU / noeud (deduit)],MATCH($B62,tblClusters[Cluster],0)),0),ROUNDUP(Q62/INDEX(tblClusters[RAM / noeud - Go (deduit)],MATCH($B62,tblClusters[Cluster],0)),0)),"Flavor a definir"))</f>
        <v>0</v>
      </c>
    </row>
    <row r="63" spans="1:18" x14ac:dyDescent="0.2">
      <c r="A63" s="38">
        <v>46692</v>
      </c>
      <c r="B63" s="21" t="s">
        <v>163</v>
      </c>
      <c r="C63" s="28" t="str">
        <f>IFERROR(INDEX(tblClusters[Utilisation],MATCH($B63,tblClusters[Cluster],0)),"")</f>
        <v>Italy No Secret Hors-Prod</v>
      </c>
      <c r="D63" s="28" t="str">
        <f>IFERROR(INDEX(tblClusters[Type (deduit)],MATCH($B63,tblClusters[Cluster],0)),"")</f>
        <v>Dedie</v>
      </c>
      <c r="E63" s="24">
        <f>IFERROR(INDEX(tblClusters[CPU max (cores)],MATCH($B63,tblClusters[Cluster],0)),0)</f>
        <v>48</v>
      </c>
      <c r="F63" s="24">
        <f>IFERROR(INDEX(tblClusters[RAM max (Go)],MATCH($B63,tblClusters[Cluster],0)),0)</f>
        <v>240</v>
      </c>
      <c r="G63" s="24">
        <f>IFERROR(INDEX(tblClusters[Charge existante CPU hors migration],MATCH($B63,tblClusters[Cluster],0)),0)</f>
        <v>0</v>
      </c>
      <c r="H63" s="24">
        <f>IFERROR(INDEX(tblClusters[Charge existante RAM hors migration (Go)],MATCH($B63,tblClusters[Cluster],0)),0)</f>
        <v>0</v>
      </c>
      <c r="I63" s="24">
        <f ca="1">SUMIFS(tblApplications[CPU cible ROKS],tblApplications[Cluster ROKS cible (auto)],$B63,tblApplications[Mois de bascule prevu],"&lt;="&amp;EOMONTH($A63,0),tblApplications[Inclus projection O/N],"O")</f>
        <v>0</v>
      </c>
      <c r="J63" s="24">
        <f ca="1">SUMIFS(tblApplications[RAM cible ROKS],tblApplications[Cluster ROKS cible (auto)],$B63,tblApplications[Mois de bascule prevu],"&lt;="&amp;EOMONTH($A63,0),tblApplications[Inclus projection O/N],"O")</f>
        <v>0</v>
      </c>
      <c r="K63" s="25">
        <f t="shared" ca="1" si="0"/>
        <v>0</v>
      </c>
      <c r="L63" s="25">
        <f t="shared" ca="1" si="1"/>
        <v>0</v>
      </c>
      <c r="M63" s="26">
        <f t="shared" ca="1" si="2"/>
        <v>0</v>
      </c>
      <c r="N63" s="26">
        <f t="shared" ca="1" si="3"/>
        <v>0</v>
      </c>
      <c r="O63" s="22" t="str">
        <f ca="1">IF(E63=0,IF(K63&gt;0,"Cluster sans capacite provisionnee","n/a"),IF(OR(M63&gt;=Clusters_ROKS!$AC$5,N63&gt;=Clusters_ROKS!$AC$5),"Seuil depasse","OK"))</f>
        <v>OK</v>
      </c>
      <c r="P63" s="25">
        <f t="shared" ca="1" si="4"/>
        <v>0</v>
      </c>
      <c r="Q63" s="25">
        <f t="shared" ca="1" si="5"/>
        <v>0</v>
      </c>
      <c r="R63" s="24">
        <f ca="1">IF(AND(P63=0,Q63=0),0,IFERROR(MAX(ROUNDUP(P63/INDEX(tblClusters[vCPU / noeud (deduit)],MATCH($B63,tblClusters[Cluster],0)),0),ROUNDUP(Q63/INDEX(tblClusters[RAM / noeud - Go (deduit)],MATCH($B63,tblClusters[Cluster],0)),0)),"Flavor a definir"))</f>
        <v>0</v>
      </c>
    </row>
    <row r="64" spans="1:18" x14ac:dyDescent="0.2">
      <c r="A64" s="38">
        <v>46722</v>
      </c>
      <c r="B64" s="21" t="s">
        <v>163</v>
      </c>
      <c r="C64" s="28" t="str">
        <f>IFERROR(INDEX(tblClusters[Utilisation],MATCH($B64,tblClusters[Cluster],0)),"")</f>
        <v>Italy No Secret Hors-Prod</v>
      </c>
      <c r="D64" s="28" t="str">
        <f>IFERROR(INDEX(tblClusters[Type (deduit)],MATCH($B64,tblClusters[Cluster],0)),"")</f>
        <v>Dedie</v>
      </c>
      <c r="E64" s="24">
        <f>IFERROR(INDEX(tblClusters[CPU max (cores)],MATCH($B64,tblClusters[Cluster],0)),0)</f>
        <v>48</v>
      </c>
      <c r="F64" s="24">
        <f>IFERROR(INDEX(tblClusters[RAM max (Go)],MATCH($B64,tblClusters[Cluster],0)),0)</f>
        <v>240</v>
      </c>
      <c r="G64" s="24">
        <f>IFERROR(INDEX(tblClusters[Charge existante CPU hors migration],MATCH($B64,tblClusters[Cluster],0)),0)</f>
        <v>0</v>
      </c>
      <c r="H64" s="24">
        <f>IFERROR(INDEX(tblClusters[Charge existante RAM hors migration (Go)],MATCH($B64,tblClusters[Cluster],0)),0)</f>
        <v>0</v>
      </c>
      <c r="I64" s="24">
        <f ca="1">SUMIFS(tblApplications[CPU cible ROKS],tblApplications[Cluster ROKS cible (auto)],$B64,tblApplications[Mois de bascule prevu],"&lt;="&amp;EOMONTH($A64,0),tblApplications[Inclus projection O/N],"O")</f>
        <v>0</v>
      </c>
      <c r="J64" s="24">
        <f ca="1">SUMIFS(tblApplications[RAM cible ROKS],tblApplications[Cluster ROKS cible (auto)],$B64,tblApplications[Mois de bascule prevu],"&lt;="&amp;EOMONTH($A64,0),tblApplications[Inclus projection O/N],"O")</f>
        <v>0</v>
      </c>
      <c r="K64" s="25">
        <f t="shared" ca="1" si="0"/>
        <v>0</v>
      </c>
      <c r="L64" s="25">
        <f t="shared" ca="1" si="1"/>
        <v>0</v>
      </c>
      <c r="M64" s="26">
        <f t="shared" ca="1" si="2"/>
        <v>0</v>
      </c>
      <c r="N64" s="26">
        <f t="shared" ca="1" si="3"/>
        <v>0</v>
      </c>
      <c r="O64" s="22" t="str">
        <f ca="1">IF(E64=0,IF(K64&gt;0,"Cluster sans capacite provisionnee","n/a"),IF(OR(M64&gt;=Clusters_ROKS!$AC$5,N64&gt;=Clusters_ROKS!$AC$5),"Seuil depasse","OK"))</f>
        <v>OK</v>
      </c>
      <c r="P64" s="25">
        <f t="shared" ca="1" si="4"/>
        <v>0</v>
      </c>
      <c r="Q64" s="25">
        <f t="shared" ca="1" si="5"/>
        <v>0</v>
      </c>
      <c r="R64" s="24">
        <f ca="1">IF(AND(P64=0,Q64=0),0,IFERROR(MAX(ROUNDUP(P64/INDEX(tblClusters[vCPU / noeud (deduit)],MATCH($B64,tblClusters[Cluster],0)),0),ROUNDUP(Q64/INDEX(tblClusters[RAM / noeud - Go (deduit)],MATCH($B64,tblClusters[Cluster],0)),0)),"Flavor a definir"))</f>
        <v>0</v>
      </c>
    </row>
    <row r="65" spans="1:18" x14ac:dyDescent="0.2">
      <c r="A65" s="38">
        <v>46388</v>
      </c>
      <c r="B65" s="21" t="s">
        <v>166</v>
      </c>
      <c r="C65" s="28" t="str">
        <f>IFERROR(INDEX(tblClusters[Utilisation],MATCH($B65,tblClusters[Cluster],0)),"")</f>
        <v>Italy No Secret Prod</v>
      </c>
      <c r="D65" s="28" t="str">
        <f>IFERROR(INDEX(tblClusters[Type (deduit)],MATCH($B65,tblClusters[Cluster],0)),"")</f>
        <v>Dedie</v>
      </c>
      <c r="E65" s="24">
        <f>IFERROR(INDEX(tblClusters[CPU max (cores)],MATCH($B65,tblClusters[Cluster],0)),0)</f>
        <v>48</v>
      </c>
      <c r="F65" s="24">
        <f>IFERROR(INDEX(tblClusters[RAM max (Go)],MATCH($B65,tblClusters[Cluster],0)),0)</f>
        <v>240</v>
      </c>
      <c r="G65" s="24">
        <f>IFERROR(INDEX(tblClusters[Charge existante CPU hors migration],MATCH($B65,tblClusters[Cluster],0)),0)</f>
        <v>0</v>
      </c>
      <c r="H65" s="24">
        <f>IFERROR(INDEX(tblClusters[Charge existante RAM hors migration (Go)],MATCH($B65,tblClusters[Cluster],0)),0)</f>
        <v>0</v>
      </c>
      <c r="I65" s="24">
        <f ca="1">SUMIFS(tblApplications[CPU cible ROKS],tblApplications[Cluster ROKS cible (auto)],$B65,tblApplications[Mois de bascule prevu],"&lt;="&amp;EOMONTH($A65,0),tblApplications[Inclus projection O/N],"O")</f>
        <v>0</v>
      </c>
      <c r="J65" s="24">
        <f ca="1">SUMIFS(tblApplications[RAM cible ROKS],tblApplications[Cluster ROKS cible (auto)],$B65,tblApplications[Mois de bascule prevu],"&lt;="&amp;EOMONTH($A65,0),tblApplications[Inclus projection O/N],"O")</f>
        <v>0</v>
      </c>
      <c r="K65" s="25">
        <f t="shared" ca="1" si="0"/>
        <v>0</v>
      </c>
      <c r="L65" s="25">
        <f t="shared" ca="1" si="1"/>
        <v>0</v>
      </c>
      <c r="M65" s="26">
        <f t="shared" ca="1" si="2"/>
        <v>0</v>
      </c>
      <c r="N65" s="26">
        <f t="shared" ca="1" si="3"/>
        <v>0</v>
      </c>
      <c r="O65" s="22" t="str">
        <f ca="1">IF(E65=0,IF(K65&gt;0,"Cluster sans capacite provisionnee","n/a"),IF(OR(M65&gt;=Clusters_ROKS!$AC$5,N65&gt;=Clusters_ROKS!$AC$5),"Seuil depasse","OK"))</f>
        <v>OK</v>
      </c>
      <c r="P65" s="25">
        <f t="shared" ca="1" si="4"/>
        <v>0</v>
      </c>
      <c r="Q65" s="25">
        <f t="shared" ca="1" si="5"/>
        <v>0</v>
      </c>
      <c r="R65" s="24">
        <f ca="1">IF(AND(P65=0,Q65=0),0,IFERROR(MAX(ROUNDUP(P65/INDEX(tblClusters[vCPU / noeud (deduit)],MATCH($B65,tblClusters[Cluster],0)),0),ROUNDUP(Q65/INDEX(tblClusters[RAM / noeud - Go (deduit)],MATCH($B65,tblClusters[Cluster],0)),0)),"Flavor a definir"))</f>
        <v>0</v>
      </c>
    </row>
    <row r="66" spans="1:18" x14ac:dyDescent="0.2">
      <c r="A66" s="38">
        <v>46419</v>
      </c>
      <c r="B66" s="21" t="s">
        <v>166</v>
      </c>
      <c r="C66" s="28" t="str">
        <f>IFERROR(INDEX(tblClusters[Utilisation],MATCH($B66,tblClusters[Cluster],0)),"")</f>
        <v>Italy No Secret Prod</v>
      </c>
      <c r="D66" s="28" t="str">
        <f>IFERROR(INDEX(tblClusters[Type (deduit)],MATCH($B66,tblClusters[Cluster],0)),"")</f>
        <v>Dedie</v>
      </c>
      <c r="E66" s="24">
        <f>IFERROR(INDEX(tblClusters[CPU max (cores)],MATCH($B66,tblClusters[Cluster],0)),0)</f>
        <v>48</v>
      </c>
      <c r="F66" s="24">
        <f>IFERROR(INDEX(tblClusters[RAM max (Go)],MATCH($B66,tblClusters[Cluster],0)),0)</f>
        <v>240</v>
      </c>
      <c r="G66" s="24">
        <f>IFERROR(INDEX(tblClusters[Charge existante CPU hors migration],MATCH($B66,tblClusters[Cluster],0)),0)</f>
        <v>0</v>
      </c>
      <c r="H66" s="24">
        <f>IFERROR(INDEX(tblClusters[Charge existante RAM hors migration (Go)],MATCH($B66,tblClusters[Cluster],0)),0)</f>
        <v>0</v>
      </c>
      <c r="I66" s="24">
        <f ca="1">SUMIFS(tblApplications[CPU cible ROKS],tblApplications[Cluster ROKS cible (auto)],$B66,tblApplications[Mois de bascule prevu],"&lt;="&amp;EOMONTH($A66,0),tblApplications[Inclus projection O/N],"O")</f>
        <v>0</v>
      </c>
      <c r="J66" s="24">
        <f ca="1">SUMIFS(tblApplications[RAM cible ROKS],tblApplications[Cluster ROKS cible (auto)],$B66,tblApplications[Mois de bascule prevu],"&lt;="&amp;EOMONTH($A66,0),tblApplications[Inclus projection O/N],"O")</f>
        <v>0</v>
      </c>
      <c r="K66" s="25">
        <f t="shared" ca="1" si="0"/>
        <v>0</v>
      </c>
      <c r="L66" s="25">
        <f t="shared" ca="1" si="1"/>
        <v>0</v>
      </c>
      <c r="M66" s="26">
        <f t="shared" ca="1" si="2"/>
        <v>0</v>
      </c>
      <c r="N66" s="26">
        <f t="shared" ca="1" si="3"/>
        <v>0</v>
      </c>
      <c r="O66" s="22" t="str">
        <f ca="1">IF(E66=0,IF(K66&gt;0,"Cluster sans capacite provisionnee","n/a"),IF(OR(M66&gt;=Clusters_ROKS!$AC$5,N66&gt;=Clusters_ROKS!$AC$5),"Seuil depasse","OK"))</f>
        <v>OK</v>
      </c>
      <c r="P66" s="25">
        <f t="shared" ca="1" si="4"/>
        <v>0</v>
      </c>
      <c r="Q66" s="25">
        <f t="shared" ca="1" si="5"/>
        <v>0</v>
      </c>
      <c r="R66" s="24">
        <f ca="1">IF(AND(P66=0,Q66=0),0,IFERROR(MAX(ROUNDUP(P66/INDEX(tblClusters[vCPU / noeud (deduit)],MATCH($B66,tblClusters[Cluster],0)),0),ROUNDUP(Q66/INDEX(tblClusters[RAM / noeud - Go (deduit)],MATCH($B66,tblClusters[Cluster],0)),0)),"Flavor a definir"))</f>
        <v>0</v>
      </c>
    </row>
    <row r="67" spans="1:18" x14ac:dyDescent="0.2">
      <c r="A67" s="38">
        <v>46447</v>
      </c>
      <c r="B67" s="21" t="s">
        <v>166</v>
      </c>
      <c r="C67" s="28" t="str">
        <f>IFERROR(INDEX(tblClusters[Utilisation],MATCH($B67,tblClusters[Cluster],0)),"")</f>
        <v>Italy No Secret Prod</v>
      </c>
      <c r="D67" s="28" t="str">
        <f>IFERROR(INDEX(tblClusters[Type (deduit)],MATCH($B67,tblClusters[Cluster],0)),"")</f>
        <v>Dedie</v>
      </c>
      <c r="E67" s="24">
        <f>IFERROR(INDEX(tblClusters[CPU max (cores)],MATCH($B67,tblClusters[Cluster],0)),0)</f>
        <v>48</v>
      </c>
      <c r="F67" s="24">
        <f>IFERROR(INDEX(tblClusters[RAM max (Go)],MATCH($B67,tblClusters[Cluster],0)),0)</f>
        <v>240</v>
      </c>
      <c r="G67" s="24">
        <f>IFERROR(INDEX(tblClusters[Charge existante CPU hors migration],MATCH($B67,tblClusters[Cluster],0)),0)</f>
        <v>0</v>
      </c>
      <c r="H67" s="24">
        <f>IFERROR(INDEX(tblClusters[Charge existante RAM hors migration (Go)],MATCH($B67,tblClusters[Cluster],0)),0)</f>
        <v>0</v>
      </c>
      <c r="I67" s="24">
        <f ca="1">SUMIFS(tblApplications[CPU cible ROKS],tblApplications[Cluster ROKS cible (auto)],$B67,tblApplications[Mois de bascule prevu],"&lt;="&amp;EOMONTH($A67,0),tblApplications[Inclus projection O/N],"O")</f>
        <v>0</v>
      </c>
      <c r="J67" s="24">
        <f ca="1">SUMIFS(tblApplications[RAM cible ROKS],tblApplications[Cluster ROKS cible (auto)],$B67,tblApplications[Mois de bascule prevu],"&lt;="&amp;EOMONTH($A67,0),tblApplications[Inclus projection O/N],"O")</f>
        <v>0</v>
      </c>
      <c r="K67" s="25">
        <f t="shared" ca="1" si="0"/>
        <v>0</v>
      </c>
      <c r="L67" s="25">
        <f t="shared" ca="1" si="1"/>
        <v>0</v>
      </c>
      <c r="M67" s="26">
        <f t="shared" ca="1" si="2"/>
        <v>0</v>
      </c>
      <c r="N67" s="26">
        <f t="shared" ca="1" si="3"/>
        <v>0</v>
      </c>
      <c r="O67" s="22" t="str">
        <f ca="1">IF(E67=0,IF(K67&gt;0,"Cluster sans capacite provisionnee","n/a"),IF(OR(M67&gt;=Clusters_ROKS!$AC$5,N67&gt;=Clusters_ROKS!$AC$5),"Seuil depasse","OK"))</f>
        <v>OK</v>
      </c>
      <c r="P67" s="25">
        <f t="shared" ca="1" si="4"/>
        <v>0</v>
      </c>
      <c r="Q67" s="25">
        <f t="shared" ca="1" si="5"/>
        <v>0</v>
      </c>
      <c r="R67" s="24">
        <f ca="1">IF(AND(P67=0,Q67=0),0,IFERROR(MAX(ROUNDUP(P67/INDEX(tblClusters[vCPU / noeud (deduit)],MATCH($B67,tblClusters[Cluster],0)),0),ROUNDUP(Q67/INDEX(tblClusters[RAM / noeud - Go (deduit)],MATCH($B67,tblClusters[Cluster],0)),0)),"Flavor a definir"))</f>
        <v>0</v>
      </c>
    </row>
    <row r="68" spans="1:18" x14ac:dyDescent="0.2">
      <c r="A68" s="38">
        <v>46478</v>
      </c>
      <c r="B68" s="21" t="s">
        <v>166</v>
      </c>
      <c r="C68" s="28" t="str">
        <f>IFERROR(INDEX(tblClusters[Utilisation],MATCH($B68,tblClusters[Cluster],0)),"")</f>
        <v>Italy No Secret Prod</v>
      </c>
      <c r="D68" s="28" t="str">
        <f>IFERROR(INDEX(tblClusters[Type (deduit)],MATCH($B68,tblClusters[Cluster],0)),"")</f>
        <v>Dedie</v>
      </c>
      <c r="E68" s="24">
        <f>IFERROR(INDEX(tblClusters[CPU max (cores)],MATCH($B68,tblClusters[Cluster],0)),0)</f>
        <v>48</v>
      </c>
      <c r="F68" s="24">
        <f>IFERROR(INDEX(tblClusters[RAM max (Go)],MATCH($B68,tblClusters[Cluster],0)),0)</f>
        <v>240</v>
      </c>
      <c r="G68" s="24">
        <f>IFERROR(INDEX(tblClusters[Charge existante CPU hors migration],MATCH($B68,tblClusters[Cluster],0)),0)</f>
        <v>0</v>
      </c>
      <c r="H68" s="24">
        <f>IFERROR(INDEX(tblClusters[Charge existante RAM hors migration (Go)],MATCH($B68,tblClusters[Cluster],0)),0)</f>
        <v>0</v>
      </c>
      <c r="I68" s="24">
        <f ca="1">SUMIFS(tblApplications[CPU cible ROKS],tblApplications[Cluster ROKS cible (auto)],$B68,tblApplications[Mois de bascule prevu],"&lt;="&amp;EOMONTH($A68,0),tblApplications[Inclus projection O/N],"O")</f>
        <v>0</v>
      </c>
      <c r="J68" s="24">
        <f ca="1">SUMIFS(tblApplications[RAM cible ROKS],tblApplications[Cluster ROKS cible (auto)],$B68,tblApplications[Mois de bascule prevu],"&lt;="&amp;EOMONTH($A68,0),tblApplications[Inclus projection O/N],"O")</f>
        <v>0</v>
      </c>
      <c r="K68" s="25">
        <f t="shared" ca="1" si="0"/>
        <v>0</v>
      </c>
      <c r="L68" s="25">
        <f t="shared" ca="1" si="1"/>
        <v>0</v>
      </c>
      <c r="M68" s="26">
        <f t="shared" ca="1" si="2"/>
        <v>0</v>
      </c>
      <c r="N68" s="26">
        <f t="shared" ca="1" si="3"/>
        <v>0</v>
      </c>
      <c r="O68" s="22" t="str">
        <f ca="1">IF(E68=0,IF(K68&gt;0,"Cluster sans capacite provisionnee","n/a"),IF(OR(M68&gt;=Clusters_ROKS!$AC$5,N68&gt;=Clusters_ROKS!$AC$5),"Seuil depasse","OK"))</f>
        <v>OK</v>
      </c>
      <c r="P68" s="25">
        <f t="shared" ca="1" si="4"/>
        <v>0</v>
      </c>
      <c r="Q68" s="25">
        <f t="shared" ca="1" si="5"/>
        <v>0</v>
      </c>
      <c r="R68" s="24">
        <f ca="1">IF(AND(P68=0,Q68=0),0,IFERROR(MAX(ROUNDUP(P68/INDEX(tblClusters[vCPU / noeud (deduit)],MATCH($B68,tblClusters[Cluster],0)),0),ROUNDUP(Q68/INDEX(tblClusters[RAM / noeud - Go (deduit)],MATCH($B68,tblClusters[Cluster],0)),0)),"Flavor a definir"))</f>
        <v>0</v>
      </c>
    </row>
    <row r="69" spans="1:18" x14ac:dyDescent="0.2">
      <c r="A69" s="38">
        <v>46508</v>
      </c>
      <c r="B69" s="21" t="s">
        <v>166</v>
      </c>
      <c r="C69" s="28" t="str">
        <f>IFERROR(INDEX(tblClusters[Utilisation],MATCH($B69,tblClusters[Cluster],0)),"")</f>
        <v>Italy No Secret Prod</v>
      </c>
      <c r="D69" s="28" t="str">
        <f>IFERROR(INDEX(tblClusters[Type (deduit)],MATCH($B69,tblClusters[Cluster],0)),"")</f>
        <v>Dedie</v>
      </c>
      <c r="E69" s="24">
        <f>IFERROR(INDEX(tblClusters[CPU max (cores)],MATCH($B69,tblClusters[Cluster],0)),0)</f>
        <v>48</v>
      </c>
      <c r="F69" s="24">
        <f>IFERROR(INDEX(tblClusters[RAM max (Go)],MATCH($B69,tblClusters[Cluster],0)),0)</f>
        <v>240</v>
      </c>
      <c r="G69" s="24">
        <f>IFERROR(INDEX(tblClusters[Charge existante CPU hors migration],MATCH($B69,tblClusters[Cluster],0)),0)</f>
        <v>0</v>
      </c>
      <c r="H69" s="24">
        <f>IFERROR(INDEX(tblClusters[Charge existante RAM hors migration (Go)],MATCH($B69,tblClusters[Cluster],0)),0)</f>
        <v>0</v>
      </c>
      <c r="I69" s="24">
        <f ca="1">SUMIFS(tblApplications[CPU cible ROKS],tblApplications[Cluster ROKS cible (auto)],$B69,tblApplications[Mois de bascule prevu],"&lt;="&amp;EOMONTH($A69,0),tblApplications[Inclus projection O/N],"O")</f>
        <v>0</v>
      </c>
      <c r="J69" s="24">
        <f ca="1">SUMIFS(tblApplications[RAM cible ROKS],tblApplications[Cluster ROKS cible (auto)],$B69,tblApplications[Mois de bascule prevu],"&lt;="&amp;EOMONTH($A69,0),tblApplications[Inclus projection O/N],"O")</f>
        <v>0</v>
      </c>
      <c r="K69" s="25">
        <f t="shared" ref="K69:K132" ca="1" si="6">G69+I69</f>
        <v>0</v>
      </c>
      <c r="L69" s="25">
        <f t="shared" ref="L69:L132" ca="1" si="7">H69+J69</f>
        <v>0</v>
      </c>
      <c r="M69" s="26">
        <f t="shared" ref="M69:M132" ca="1" si="8">IF(E69=0,"",K69/E69)</f>
        <v>0</v>
      </c>
      <c r="N69" s="26">
        <f t="shared" ref="N69:N132" ca="1" si="9">IF(F69=0,"",L69/F69)</f>
        <v>0</v>
      </c>
      <c r="O69" s="22" t="str">
        <f ca="1">IF(E69=0,IF(K69&gt;0,"Cluster sans capacite provisionnee","n/a"),IF(OR(M69&gt;=Clusters_ROKS!$AC$5,N69&gt;=Clusters_ROKS!$AC$5),"Seuil depasse","OK"))</f>
        <v>OK</v>
      </c>
      <c r="P69" s="25">
        <f t="shared" ref="P69:P132" ca="1" si="10">MAX(0,K69-E69)</f>
        <v>0</v>
      </c>
      <c r="Q69" s="25">
        <f t="shared" ref="Q69:Q132" ca="1" si="11">MAX(0,L69-F69)</f>
        <v>0</v>
      </c>
      <c r="R69" s="24">
        <f ca="1">IF(AND(P69=0,Q69=0),0,IFERROR(MAX(ROUNDUP(P69/INDEX(tblClusters[vCPU / noeud (deduit)],MATCH($B69,tblClusters[Cluster],0)),0),ROUNDUP(Q69/INDEX(tblClusters[RAM / noeud - Go (deduit)],MATCH($B69,tblClusters[Cluster],0)),0)),"Flavor a definir"))</f>
        <v>0</v>
      </c>
    </row>
    <row r="70" spans="1:18" x14ac:dyDescent="0.2">
      <c r="A70" s="38">
        <v>46539</v>
      </c>
      <c r="B70" s="21" t="s">
        <v>166</v>
      </c>
      <c r="C70" s="28" t="str">
        <f>IFERROR(INDEX(tblClusters[Utilisation],MATCH($B70,tblClusters[Cluster],0)),"")</f>
        <v>Italy No Secret Prod</v>
      </c>
      <c r="D70" s="28" t="str">
        <f>IFERROR(INDEX(tblClusters[Type (deduit)],MATCH($B70,tblClusters[Cluster],0)),"")</f>
        <v>Dedie</v>
      </c>
      <c r="E70" s="24">
        <f>IFERROR(INDEX(tblClusters[CPU max (cores)],MATCH($B70,tblClusters[Cluster],0)),0)</f>
        <v>48</v>
      </c>
      <c r="F70" s="24">
        <f>IFERROR(INDEX(tblClusters[RAM max (Go)],MATCH($B70,tblClusters[Cluster],0)),0)</f>
        <v>240</v>
      </c>
      <c r="G70" s="24">
        <f>IFERROR(INDEX(tblClusters[Charge existante CPU hors migration],MATCH($B70,tblClusters[Cluster],0)),0)</f>
        <v>0</v>
      </c>
      <c r="H70" s="24">
        <f>IFERROR(INDEX(tblClusters[Charge existante RAM hors migration (Go)],MATCH($B70,tblClusters[Cluster],0)),0)</f>
        <v>0</v>
      </c>
      <c r="I70" s="24">
        <f ca="1">SUMIFS(tblApplications[CPU cible ROKS],tblApplications[Cluster ROKS cible (auto)],$B70,tblApplications[Mois de bascule prevu],"&lt;="&amp;EOMONTH($A70,0),tblApplications[Inclus projection O/N],"O")</f>
        <v>0</v>
      </c>
      <c r="J70" s="24">
        <f ca="1">SUMIFS(tblApplications[RAM cible ROKS],tblApplications[Cluster ROKS cible (auto)],$B70,tblApplications[Mois de bascule prevu],"&lt;="&amp;EOMONTH($A70,0),tblApplications[Inclus projection O/N],"O")</f>
        <v>0</v>
      </c>
      <c r="K70" s="25">
        <f t="shared" ca="1" si="6"/>
        <v>0</v>
      </c>
      <c r="L70" s="25">
        <f t="shared" ca="1" si="7"/>
        <v>0</v>
      </c>
      <c r="M70" s="26">
        <f t="shared" ca="1" si="8"/>
        <v>0</v>
      </c>
      <c r="N70" s="26">
        <f t="shared" ca="1" si="9"/>
        <v>0</v>
      </c>
      <c r="O70" s="22" t="str">
        <f ca="1">IF(E70=0,IF(K70&gt;0,"Cluster sans capacite provisionnee","n/a"),IF(OR(M70&gt;=Clusters_ROKS!$AC$5,N70&gt;=Clusters_ROKS!$AC$5),"Seuil depasse","OK"))</f>
        <v>OK</v>
      </c>
      <c r="P70" s="25">
        <f t="shared" ca="1" si="10"/>
        <v>0</v>
      </c>
      <c r="Q70" s="25">
        <f t="shared" ca="1" si="11"/>
        <v>0</v>
      </c>
      <c r="R70" s="24">
        <f ca="1">IF(AND(P70=0,Q70=0),0,IFERROR(MAX(ROUNDUP(P70/INDEX(tblClusters[vCPU / noeud (deduit)],MATCH($B70,tblClusters[Cluster],0)),0),ROUNDUP(Q70/INDEX(tblClusters[RAM / noeud - Go (deduit)],MATCH($B70,tblClusters[Cluster],0)),0)),"Flavor a definir"))</f>
        <v>0</v>
      </c>
    </row>
    <row r="71" spans="1:18" x14ac:dyDescent="0.2">
      <c r="A71" s="38">
        <v>46569</v>
      </c>
      <c r="B71" s="21" t="s">
        <v>166</v>
      </c>
      <c r="C71" s="28" t="str">
        <f>IFERROR(INDEX(tblClusters[Utilisation],MATCH($B71,tblClusters[Cluster],0)),"")</f>
        <v>Italy No Secret Prod</v>
      </c>
      <c r="D71" s="28" t="str">
        <f>IFERROR(INDEX(tblClusters[Type (deduit)],MATCH($B71,tblClusters[Cluster],0)),"")</f>
        <v>Dedie</v>
      </c>
      <c r="E71" s="24">
        <f>IFERROR(INDEX(tblClusters[CPU max (cores)],MATCH($B71,tblClusters[Cluster],0)),0)</f>
        <v>48</v>
      </c>
      <c r="F71" s="24">
        <f>IFERROR(INDEX(tblClusters[RAM max (Go)],MATCH($B71,tblClusters[Cluster],0)),0)</f>
        <v>240</v>
      </c>
      <c r="G71" s="24">
        <f>IFERROR(INDEX(tblClusters[Charge existante CPU hors migration],MATCH($B71,tblClusters[Cluster],0)),0)</f>
        <v>0</v>
      </c>
      <c r="H71" s="24">
        <f>IFERROR(INDEX(tblClusters[Charge existante RAM hors migration (Go)],MATCH($B71,tblClusters[Cluster],0)),0)</f>
        <v>0</v>
      </c>
      <c r="I71" s="24">
        <f ca="1">SUMIFS(tblApplications[CPU cible ROKS],tblApplications[Cluster ROKS cible (auto)],$B71,tblApplications[Mois de bascule prevu],"&lt;="&amp;EOMONTH($A71,0),tblApplications[Inclus projection O/N],"O")</f>
        <v>0</v>
      </c>
      <c r="J71" s="24">
        <f ca="1">SUMIFS(tblApplications[RAM cible ROKS],tblApplications[Cluster ROKS cible (auto)],$B71,tblApplications[Mois de bascule prevu],"&lt;="&amp;EOMONTH($A71,0),tblApplications[Inclus projection O/N],"O")</f>
        <v>0</v>
      </c>
      <c r="K71" s="25">
        <f t="shared" ca="1" si="6"/>
        <v>0</v>
      </c>
      <c r="L71" s="25">
        <f t="shared" ca="1" si="7"/>
        <v>0</v>
      </c>
      <c r="M71" s="26">
        <f t="shared" ca="1" si="8"/>
        <v>0</v>
      </c>
      <c r="N71" s="26">
        <f t="shared" ca="1" si="9"/>
        <v>0</v>
      </c>
      <c r="O71" s="22" t="str">
        <f ca="1">IF(E71=0,IF(K71&gt;0,"Cluster sans capacite provisionnee","n/a"),IF(OR(M71&gt;=Clusters_ROKS!$AC$5,N71&gt;=Clusters_ROKS!$AC$5),"Seuil depasse","OK"))</f>
        <v>OK</v>
      </c>
      <c r="P71" s="25">
        <f t="shared" ca="1" si="10"/>
        <v>0</v>
      </c>
      <c r="Q71" s="25">
        <f t="shared" ca="1" si="11"/>
        <v>0</v>
      </c>
      <c r="R71" s="24">
        <f ca="1">IF(AND(P71=0,Q71=0),0,IFERROR(MAX(ROUNDUP(P71/INDEX(tblClusters[vCPU / noeud (deduit)],MATCH($B71,tblClusters[Cluster],0)),0),ROUNDUP(Q71/INDEX(tblClusters[RAM / noeud - Go (deduit)],MATCH($B71,tblClusters[Cluster],0)),0)),"Flavor a definir"))</f>
        <v>0</v>
      </c>
    </row>
    <row r="72" spans="1:18" x14ac:dyDescent="0.2">
      <c r="A72" s="38">
        <v>46600</v>
      </c>
      <c r="B72" s="21" t="s">
        <v>166</v>
      </c>
      <c r="C72" s="28" t="str">
        <f>IFERROR(INDEX(tblClusters[Utilisation],MATCH($B72,tblClusters[Cluster],0)),"")</f>
        <v>Italy No Secret Prod</v>
      </c>
      <c r="D72" s="28" t="str">
        <f>IFERROR(INDEX(tblClusters[Type (deduit)],MATCH($B72,tblClusters[Cluster],0)),"")</f>
        <v>Dedie</v>
      </c>
      <c r="E72" s="24">
        <f>IFERROR(INDEX(tblClusters[CPU max (cores)],MATCH($B72,tblClusters[Cluster],0)),0)</f>
        <v>48</v>
      </c>
      <c r="F72" s="24">
        <f>IFERROR(INDEX(tblClusters[RAM max (Go)],MATCH($B72,tblClusters[Cluster],0)),0)</f>
        <v>240</v>
      </c>
      <c r="G72" s="24">
        <f>IFERROR(INDEX(tblClusters[Charge existante CPU hors migration],MATCH($B72,tblClusters[Cluster],0)),0)</f>
        <v>0</v>
      </c>
      <c r="H72" s="24">
        <f>IFERROR(INDEX(tblClusters[Charge existante RAM hors migration (Go)],MATCH($B72,tblClusters[Cluster],0)),0)</f>
        <v>0</v>
      </c>
      <c r="I72" s="24">
        <f ca="1">SUMIFS(tblApplications[CPU cible ROKS],tblApplications[Cluster ROKS cible (auto)],$B72,tblApplications[Mois de bascule prevu],"&lt;="&amp;EOMONTH($A72,0),tblApplications[Inclus projection O/N],"O")</f>
        <v>0</v>
      </c>
      <c r="J72" s="24">
        <f ca="1">SUMIFS(tblApplications[RAM cible ROKS],tblApplications[Cluster ROKS cible (auto)],$B72,tblApplications[Mois de bascule prevu],"&lt;="&amp;EOMONTH($A72,0),tblApplications[Inclus projection O/N],"O")</f>
        <v>0</v>
      </c>
      <c r="K72" s="25">
        <f t="shared" ca="1" si="6"/>
        <v>0</v>
      </c>
      <c r="L72" s="25">
        <f t="shared" ca="1" si="7"/>
        <v>0</v>
      </c>
      <c r="M72" s="26">
        <f t="shared" ca="1" si="8"/>
        <v>0</v>
      </c>
      <c r="N72" s="26">
        <f t="shared" ca="1" si="9"/>
        <v>0</v>
      </c>
      <c r="O72" s="22" t="str">
        <f ca="1">IF(E72=0,IF(K72&gt;0,"Cluster sans capacite provisionnee","n/a"),IF(OR(M72&gt;=Clusters_ROKS!$AC$5,N72&gt;=Clusters_ROKS!$AC$5),"Seuil depasse","OK"))</f>
        <v>OK</v>
      </c>
      <c r="P72" s="25">
        <f t="shared" ca="1" si="10"/>
        <v>0</v>
      </c>
      <c r="Q72" s="25">
        <f t="shared" ca="1" si="11"/>
        <v>0</v>
      </c>
      <c r="R72" s="24">
        <f ca="1">IF(AND(P72=0,Q72=0),0,IFERROR(MAX(ROUNDUP(P72/INDEX(tblClusters[vCPU / noeud (deduit)],MATCH($B72,tblClusters[Cluster],0)),0),ROUNDUP(Q72/INDEX(tblClusters[RAM / noeud - Go (deduit)],MATCH($B72,tblClusters[Cluster],0)),0)),"Flavor a definir"))</f>
        <v>0</v>
      </c>
    </row>
    <row r="73" spans="1:18" x14ac:dyDescent="0.2">
      <c r="A73" s="38">
        <v>46631</v>
      </c>
      <c r="B73" s="21" t="s">
        <v>166</v>
      </c>
      <c r="C73" s="28" t="str">
        <f>IFERROR(INDEX(tblClusters[Utilisation],MATCH($B73,tblClusters[Cluster],0)),"")</f>
        <v>Italy No Secret Prod</v>
      </c>
      <c r="D73" s="28" t="str">
        <f>IFERROR(INDEX(tblClusters[Type (deduit)],MATCH($B73,tblClusters[Cluster],0)),"")</f>
        <v>Dedie</v>
      </c>
      <c r="E73" s="24">
        <f>IFERROR(INDEX(tblClusters[CPU max (cores)],MATCH($B73,tblClusters[Cluster],0)),0)</f>
        <v>48</v>
      </c>
      <c r="F73" s="24">
        <f>IFERROR(INDEX(tblClusters[RAM max (Go)],MATCH($B73,tblClusters[Cluster],0)),0)</f>
        <v>240</v>
      </c>
      <c r="G73" s="24">
        <f>IFERROR(INDEX(tblClusters[Charge existante CPU hors migration],MATCH($B73,tblClusters[Cluster],0)),0)</f>
        <v>0</v>
      </c>
      <c r="H73" s="24">
        <f>IFERROR(INDEX(tblClusters[Charge existante RAM hors migration (Go)],MATCH($B73,tblClusters[Cluster],0)),0)</f>
        <v>0</v>
      </c>
      <c r="I73" s="24">
        <f ca="1">SUMIFS(tblApplications[CPU cible ROKS],tblApplications[Cluster ROKS cible (auto)],$B73,tblApplications[Mois de bascule prevu],"&lt;="&amp;EOMONTH($A73,0),tblApplications[Inclus projection O/N],"O")</f>
        <v>0</v>
      </c>
      <c r="J73" s="24">
        <f ca="1">SUMIFS(tblApplications[RAM cible ROKS],tblApplications[Cluster ROKS cible (auto)],$B73,tblApplications[Mois de bascule prevu],"&lt;="&amp;EOMONTH($A73,0),tblApplications[Inclus projection O/N],"O")</f>
        <v>0</v>
      </c>
      <c r="K73" s="25">
        <f t="shared" ca="1" si="6"/>
        <v>0</v>
      </c>
      <c r="L73" s="25">
        <f t="shared" ca="1" si="7"/>
        <v>0</v>
      </c>
      <c r="M73" s="26">
        <f t="shared" ca="1" si="8"/>
        <v>0</v>
      </c>
      <c r="N73" s="26">
        <f t="shared" ca="1" si="9"/>
        <v>0</v>
      </c>
      <c r="O73" s="22" t="str">
        <f ca="1">IF(E73=0,IF(K73&gt;0,"Cluster sans capacite provisionnee","n/a"),IF(OR(M73&gt;=Clusters_ROKS!$AC$5,N73&gt;=Clusters_ROKS!$AC$5),"Seuil depasse","OK"))</f>
        <v>OK</v>
      </c>
      <c r="P73" s="25">
        <f t="shared" ca="1" si="10"/>
        <v>0</v>
      </c>
      <c r="Q73" s="25">
        <f t="shared" ca="1" si="11"/>
        <v>0</v>
      </c>
      <c r="R73" s="24">
        <f ca="1">IF(AND(P73=0,Q73=0),0,IFERROR(MAX(ROUNDUP(P73/INDEX(tblClusters[vCPU / noeud (deduit)],MATCH($B73,tblClusters[Cluster],0)),0),ROUNDUP(Q73/INDEX(tblClusters[RAM / noeud - Go (deduit)],MATCH($B73,tblClusters[Cluster],0)),0)),"Flavor a definir"))</f>
        <v>0</v>
      </c>
    </row>
    <row r="74" spans="1:18" x14ac:dyDescent="0.2">
      <c r="A74" s="38">
        <v>46661</v>
      </c>
      <c r="B74" s="21" t="s">
        <v>166</v>
      </c>
      <c r="C74" s="28" t="str">
        <f>IFERROR(INDEX(tblClusters[Utilisation],MATCH($B74,tblClusters[Cluster],0)),"")</f>
        <v>Italy No Secret Prod</v>
      </c>
      <c r="D74" s="28" t="str">
        <f>IFERROR(INDEX(tblClusters[Type (deduit)],MATCH($B74,tblClusters[Cluster],0)),"")</f>
        <v>Dedie</v>
      </c>
      <c r="E74" s="24">
        <f>IFERROR(INDEX(tblClusters[CPU max (cores)],MATCH($B74,tblClusters[Cluster],0)),0)</f>
        <v>48</v>
      </c>
      <c r="F74" s="24">
        <f>IFERROR(INDEX(tblClusters[RAM max (Go)],MATCH($B74,tblClusters[Cluster],0)),0)</f>
        <v>240</v>
      </c>
      <c r="G74" s="24">
        <f>IFERROR(INDEX(tblClusters[Charge existante CPU hors migration],MATCH($B74,tblClusters[Cluster],0)),0)</f>
        <v>0</v>
      </c>
      <c r="H74" s="24">
        <f>IFERROR(INDEX(tblClusters[Charge existante RAM hors migration (Go)],MATCH($B74,tblClusters[Cluster],0)),0)</f>
        <v>0</v>
      </c>
      <c r="I74" s="24">
        <f ca="1">SUMIFS(tblApplications[CPU cible ROKS],tblApplications[Cluster ROKS cible (auto)],$B74,tblApplications[Mois de bascule prevu],"&lt;="&amp;EOMONTH($A74,0),tblApplications[Inclus projection O/N],"O")</f>
        <v>0</v>
      </c>
      <c r="J74" s="24">
        <f ca="1">SUMIFS(tblApplications[RAM cible ROKS],tblApplications[Cluster ROKS cible (auto)],$B74,tblApplications[Mois de bascule prevu],"&lt;="&amp;EOMONTH($A74,0),tblApplications[Inclus projection O/N],"O")</f>
        <v>0</v>
      </c>
      <c r="K74" s="25">
        <f t="shared" ca="1" si="6"/>
        <v>0</v>
      </c>
      <c r="L74" s="25">
        <f t="shared" ca="1" si="7"/>
        <v>0</v>
      </c>
      <c r="M74" s="26">
        <f t="shared" ca="1" si="8"/>
        <v>0</v>
      </c>
      <c r="N74" s="26">
        <f t="shared" ca="1" si="9"/>
        <v>0</v>
      </c>
      <c r="O74" s="22" t="str">
        <f ca="1">IF(E74=0,IF(K74&gt;0,"Cluster sans capacite provisionnee","n/a"),IF(OR(M74&gt;=Clusters_ROKS!$AC$5,N74&gt;=Clusters_ROKS!$AC$5),"Seuil depasse","OK"))</f>
        <v>OK</v>
      </c>
      <c r="P74" s="25">
        <f t="shared" ca="1" si="10"/>
        <v>0</v>
      </c>
      <c r="Q74" s="25">
        <f t="shared" ca="1" si="11"/>
        <v>0</v>
      </c>
      <c r="R74" s="24">
        <f ca="1">IF(AND(P74=0,Q74=0),0,IFERROR(MAX(ROUNDUP(P74/INDEX(tblClusters[vCPU / noeud (deduit)],MATCH($B74,tblClusters[Cluster],0)),0),ROUNDUP(Q74/INDEX(tblClusters[RAM / noeud - Go (deduit)],MATCH($B74,tblClusters[Cluster],0)),0)),"Flavor a definir"))</f>
        <v>0</v>
      </c>
    </row>
    <row r="75" spans="1:18" x14ac:dyDescent="0.2">
      <c r="A75" s="38">
        <v>46692</v>
      </c>
      <c r="B75" s="21" t="s">
        <v>166</v>
      </c>
      <c r="C75" s="28" t="str">
        <f>IFERROR(INDEX(tblClusters[Utilisation],MATCH($B75,tblClusters[Cluster],0)),"")</f>
        <v>Italy No Secret Prod</v>
      </c>
      <c r="D75" s="28" t="str">
        <f>IFERROR(INDEX(tblClusters[Type (deduit)],MATCH($B75,tblClusters[Cluster],0)),"")</f>
        <v>Dedie</v>
      </c>
      <c r="E75" s="24">
        <f>IFERROR(INDEX(tblClusters[CPU max (cores)],MATCH($B75,tblClusters[Cluster],0)),0)</f>
        <v>48</v>
      </c>
      <c r="F75" s="24">
        <f>IFERROR(INDEX(tblClusters[RAM max (Go)],MATCH($B75,tblClusters[Cluster],0)),0)</f>
        <v>240</v>
      </c>
      <c r="G75" s="24">
        <f>IFERROR(INDEX(tblClusters[Charge existante CPU hors migration],MATCH($B75,tblClusters[Cluster],0)),0)</f>
        <v>0</v>
      </c>
      <c r="H75" s="24">
        <f>IFERROR(INDEX(tblClusters[Charge existante RAM hors migration (Go)],MATCH($B75,tblClusters[Cluster],0)),0)</f>
        <v>0</v>
      </c>
      <c r="I75" s="24">
        <f ca="1">SUMIFS(tblApplications[CPU cible ROKS],tblApplications[Cluster ROKS cible (auto)],$B75,tblApplications[Mois de bascule prevu],"&lt;="&amp;EOMONTH($A75,0),tblApplications[Inclus projection O/N],"O")</f>
        <v>0</v>
      </c>
      <c r="J75" s="24">
        <f ca="1">SUMIFS(tblApplications[RAM cible ROKS],tblApplications[Cluster ROKS cible (auto)],$B75,tblApplications[Mois de bascule prevu],"&lt;="&amp;EOMONTH($A75,0),tblApplications[Inclus projection O/N],"O")</f>
        <v>0</v>
      </c>
      <c r="K75" s="25">
        <f t="shared" ca="1" si="6"/>
        <v>0</v>
      </c>
      <c r="L75" s="25">
        <f t="shared" ca="1" si="7"/>
        <v>0</v>
      </c>
      <c r="M75" s="26">
        <f t="shared" ca="1" si="8"/>
        <v>0</v>
      </c>
      <c r="N75" s="26">
        <f t="shared" ca="1" si="9"/>
        <v>0</v>
      </c>
      <c r="O75" s="22" t="str">
        <f ca="1">IF(E75=0,IF(K75&gt;0,"Cluster sans capacite provisionnee","n/a"),IF(OR(M75&gt;=Clusters_ROKS!$AC$5,N75&gt;=Clusters_ROKS!$AC$5),"Seuil depasse","OK"))</f>
        <v>OK</v>
      </c>
      <c r="P75" s="25">
        <f t="shared" ca="1" si="10"/>
        <v>0</v>
      </c>
      <c r="Q75" s="25">
        <f t="shared" ca="1" si="11"/>
        <v>0</v>
      </c>
      <c r="R75" s="24">
        <f ca="1">IF(AND(P75=0,Q75=0),0,IFERROR(MAX(ROUNDUP(P75/INDEX(tblClusters[vCPU / noeud (deduit)],MATCH($B75,tblClusters[Cluster],0)),0),ROUNDUP(Q75/INDEX(tblClusters[RAM / noeud - Go (deduit)],MATCH($B75,tblClusters[Cluster],0)),0)),"Flavor a definir"))</f>
        <v>0</v>
      </c>
    </row>
    <row r="76" spans="1:18" x14ac:dyDescent="0.2">
      <c r="A76" s="38">
        <v>46722</v>
      </c>
      <c r="B76" s="21" t="s">
        <v>166</v>
      </c>
      <c r="C76" s="28" t="str">
        <f>IFERROR(INDEX(tblClusters[Utilisation],MATCH($B76,tblClusters[Cluster],0)),"")</f>
        <v>Italy No Secret Prod</v>
      </c>
      <c r="D76" s="28" t="str">
        <f>IFERROR(INDEX(tblClusters[Type (deduit)],MATCH($B76,tblClusters[Cluster],0)),"")</f>
        <v>Dedie</v>
      </c>
      <c r="E76" s="24">
        <f>IFERROR(INDEX(tblClusters[CPU max (cores)],MATCH($B76,tblClusters[Cluster],0)),0)</f>
        <v>48</v>
      </c>
      <c r="F76" s="24">
        <f>IFERROR(INDEX(tblClusters[RAM max (Go)],MATCH($B76,tblClusters[Cluster],0)),0)</f>
        <v>240</v>
      </c>
      <c r="G76" s="24">
        <f>IFERROR(INDEX(tblClusters[Charge existante CPU hors migration],MATCH($B76,tblClusters[Cluster],0)),0)</f>
        <v>0</v>
      </c>
      <c r="H76" s="24">
        <f>IFERROR(INDEX(tblClusters[Charge existante RAM hors migration (Go)],MATCH($B76,tblClusters[Cluster],0)),0)</f>
        <v>0</v>
      </c>
      <c r="I76" s="24">
        <f ca="1">SUMIFS(tblApplications[CPU cible ROKS],tblApplications[Cluster ROKS cible (auto)],$B76,tblApplications[Mois de bascule prevu],"&lt;="&amp;EOMONTH($A76,0),tblApplications[Inclus projection O/N],"O")</f>
        <v>0</v>
      </c>
      <c r="J76" s="24">
        <f ca="1">SUMIFS(tblApplications[RAM cible ROKS],tblApplications[Cluster ROKS cible (auto)],$B76,tblApplications[Mois de bascule prevu],"&lt;="&amp;EOMONTH($A76,0),tblApplications[Inclus projection O/N],"O")</f>
        <v>0</v>
      </c>
      <c r="K76" s="25">
        <f t="shared" ca="1" si="6"/>
        <v>0</v>
      </c>
      <c r="L76" s="25">
        <f t="shared" ca="1" si="7"/>
        <v>0</v>
      </c>
      <c r="M76" s="26">
        <f t="shared" ca="1" si="8"/>
        <v>0</v>
      </c>
      <c r="N76" s="26">
        <f t="shared" ca="1" si="9"/>
        <v>0</v>
      </c>
      <c r="O76" s="22" t="str">
        <f ca="1">IF(E76=0,IF(K76&gt;0,"Cluster sans capacite provisionnee","n/a"),IF(OR(M76&gt;=Clusters_ROKS!$AC$5,N76&gt;=Clusters_ROKS!$AC$5),"Seuil depasse","OK"))</f>
        <v>OK</v>
      </c>
      <c r="P76" s="25">
        <f t="shared" ca="1" si="10"/>
        <v>0</v>
      </c>
      <c r="Q76" s="25">
        <f t="shared" ca="1" si="11"/>
        <v>0</v>
      </c>
      <c r="R76" s="24">
        <f ca="1">IF(AND(P76=0,Q76=0),0,IFERROR(MAX(ROUNDUP(P76/INDEX(tblClusters[vCPU / noeud (deduit)],MATCH($B76,tblClusters[Cluster],0)),0),ROUNDUP(Q76/INDEX(tblClusters[RAM / noeud - Go (deduit)],MATCH($B76,tblClusters[Cluster],0)),0)),"Flavor a definir"))</f>
        <v>0</v>
      </c>
    </row>
    <row r="77" spans="1:18" x14ac:dyDescent="0.2">
      <c r="A77" s="38">
        <v>46388</v>
      </c>
      <c r="B77" s="21" t="s">
        <v>168</v>
      </c>
      <c r="C77" s="28" t="str">
        <f>IFERROR(INDEX(tblClusters[Utilisation],MATCH($B77,tblClusters[Cluster],0)),"")</f>
        <v>LATAM Hors-Prod</v>
      </c>
      <c r="D77" s="28" t="str">
        <f>IFERROR(INDEX(tblClusters[Type (deduit)],MATCH($B77,tblClusters[Cluster],0)),"")</f>
        <v>Dedie</v>
      </c>
      <c r="E77" s="24">
        <f>IFERROR(INDEX(tblClusters[CPU max (cores)],MATCH($B77,tblClusters[Cluster],0)),0)</f>
        <v>48</v>
      </c>
      <c r="F77" s="24">
        <f>IFERROR(INDEX(tblClusters[RAM max (Go)],MATCH($B77,tblClusters[Cluster],0)),0)</f>
        <v>240</v>
      </c>
      <c r="G77" s="24">
        <f>IFERROR(INDEX(tblClusters[Charge existante CPU hors migration],MATCH($B77,tblClusters[Cluster],0)),0)</f>
        <v>0</v>
      </c>
      <c r="H77" s="24">
        <f>IFERROR(INDEX(tblClusters[Charge existante RAM hors migration (Go)],MATCH($B77,tblClusters[Cluster],0)),0)</f>
        <v>0</v>
      </c>
      <c r="I77" s="24">
        <f ca="1">SUMIFS(tblApplications[CPU cible ROKS],tblApplications[Cluster ROKS cible (auto)],$B77,tblApplications[Mois de bascule prevu],"&lt;="&amp;EOMONTH($A77,0),tblApplications[Inclus projection O/N],"O")</f>
        <v>0</v>
      </c>
      <c r="J77" s="24">
        <f ca="1">SUMIFS(tblApplications[RAM cible ROKS],tblApplications[Cluster ROKS cible (auto)],$B77,tblApplications[Mois de bascule prevu],"&lt;="&amp;EOMONTH($A77,0),tblApplications[Inclus projection O/N],"O")</f>
        <v>0</v>
      </c>
      <c r="K77" s="25">
        <f t="shared" ca="1" si="6"/>
        <v>0</v>
      </c>
      <c r="L77" s="25">
        <f t="shared" ca="1" si="7"/>
        <v>0</v>
      </c>
      <c r="M77" s="26">
        <f t="shared" ca="1" si="8"/>
        <v>0</v>
      </c>
      <c r="N77" s="26">
        <f t="shared" ca="1" si="9"/>
        <v>0</v>
      </c>
      <c r="O77" s="22" t="str">
        <f ca="1">IF(E77=0,IF(K77&gt;0,"Cluster sans capacite provisionnee","n/a"),IF(OR(M77&gt;=Clusters_ROKS!$AC$5,N77&gt;=Clusters_ROKS!$AC$5),"Seuil depasse","OK"))</f>
        <v>OK</v>
      </c>
      <c r="P77" s="25">
        <f t="shared" ca="1" si="10"/>
        <v>0</v>
      </c>
      <c r="Q77" s="25">
        <f t="shared" ca="1" si="11"/>
        <v>0</v>
      </c>
      <c r="R77" s="24">
        <f ca="1">IF(AND(P77=0,Q77=0),0,IFERROR(MAX(ROUNDUP(P77/INDEX(tblClusters[vCPU / noeud (deduit)],MATCH($B77,tblClusters[Cluster],0)),0),ROUNDUP(Q77/INDEX(tblClusters[RAM / noeud - Go (deduit)],MATCH($B77,tblClusters[Cluster],0)),0)),"Flavor a definir"))</f>
        <v>0</v>
      </c>
    </row>
    <row r="78" spans="1:18" x14ac:dyDescent="0.2">
      <c r="A78" s="38">
        <v>46419</v>
      </c>
      <c r="B78" s="21" t="s">
        <v>168</v>
      </c>
      <c r="C78" s="28" t="str">
        <f>IFERROR(INDEX(tblClusters[Utilisation],MATCH($B78,tblClusters[Cluster],0)),"")</f>
        <v>LATAM Hors-Prod</v>
      </c>
      <c r="D78" s="28" t="str">
        <f>IFERROR(INDEX(tblClusters[Type (deduit)],MATCH($B78,tblClusters[Cluster],0)),"")</f>
        <v>Dedie</v>
      </c>
      <c r="E78" s="24">
        <f>IFERROR(INDEX(tblClusters[CPU max (cores)],MATCH($B78,tblClusters[Cluster],0)),0)</f>
        <v>48</v>
      </c>
      <c r="F78" s="24">
        <f>IFERROR(INDEX(tblClusters[RAM max (Go)],MATCH($B78,tblClusters[Cluster],0)),0)</f>
        <v>240</v>
      </c>
      <c r="G78" s="24">
        <f>IFERROR(INDEX(tblClusters[Charge existante CPU hors migration],MATCH($B78,tblClusters[Cluster],0)),0)</f>
        <v>0</v>
      </c>
      <c r="H78" s="24">
        <f>IFERROR(INDEX(tblClusters[Charge existante RAM hors migration (Go)],MATCH($B78,tblClusters[Cluster],0)),0)</f>
        <v>0</v>
      </c>
      <c r="I78" s="24">
        <f ca="1">SUMIFS(tblApplications[CPU cible ROKS],tblApplications[Cluster ROKS cible (auto)],$B78,tblApplications[Mois de bascule prevu],"&lt;="&amp;EOMONTH($A78,0),tblApplications[Inclus projection O/N],"O")</f>
        <v>0</v>
      </c>
      <c r="J78" s="24">
        <f ca="1">SUMIFS(tblApplications[RAM cible ROKS],tblApplications[Cluster ROKS cible (auto)],$B78,tblApplications[Mois de bascule prevu],"&lt;="&amp;EOMONTH($A78,0),tblApplications[Inclus projection O/N],"O")</f>
        <v>0</v>
      </c>
      <c r="K78" s="25">
        <f t="shared" ca="1" si="6"/>
        <v>0</v>
      </c>
      <c r="L78" s="25">
        <f t="shared" ca="1" si="7"/>
        <v>0</v>
      </c>
      <c r="M78" s="26">
        <f t="shared" ca="1" si="8"/>
        <v>0</v>
      </c>
      <c r="N78" s="26">
        <f t="shared" ca="1" si="9"/>
        <v>0</v>
      </c>
      <c r="O78" s="22" t="str">
        <f ca="1">IF(E78=0,IF(K78&gt;0,"Cluster sans capacite provisionnee","n/a"),IF(OR(M78&gt;=Clusters_ROKS!$AC$5,N78&gt;=Clusters_ROKS!$AC$5),"Seuil depasse","OK"))</f>
        <v>OK</v>
      </c>
      <c r="P78" s="25">
        <f t="shared" ca="1" si="10"/>
        <v>0</v>
      </c>
      <c r="Q78" s="25">
        <f t="shared" ca="1" si="11"/>
        <v>0</v>
      </c>
      <c r="R78" s="24">
        <f ca="1">IF(AND(P78=0,Q78=0),0,IFERROR(MAX(ROUNDUP(P78/INDEX(tblClusters[vCPU / noeud (deduit)],MATCH($B78,tblClusters[Cluster],0)),0),ROUNDUP(Q78/INDEX(tblClusters[RAM / noeud - Go (deduit)],MATCH($B78,tblClusters[Cluster],0)),0)),"Flavor a definir"))</f>
        <v>0</v>
      </c>
    </row>
    <row r="79" spans="1:18" x14ac:dyDescent="0.2">
      <c r="A79" s="38">
        <v>46447</v>
      </c>
      <c r="B79" s="21" t="s">
        <v>168</v>
      </c>
      <c r="C79" s="28" t="str">
        <f>IFERROR(INDEX(tblClusters[Utilisation],MATCH($B79,tblClusters[Cluster],0)),"")</f>
        <v>LATAM Hors-Prod</v>
      </c>
      <c r="D79" s="28" t="str">
        <f>IFERROR(INDEX(tblClusters[Type (deduit)],MATCH($B79,tblClusters[Cluster],0)),"")</f>
        <v>Dedie</v>
      </c>
      <c r="E79" s="24">
        <f>IFERROR(INDEX(tblClusters[CPU max (cores)],MATCH($B79,tblClusters[Cluster],0)),0)</f>
        <v>48</v>
      </c>
      <c r="F79" s="24">
        <f>IFERROR(INDEX(tblClusters[RAM max (Go)],MATCH($B79,tblClusters[Cluster],0)),0)</f>
        <v>240</v>
      </c>
      <c r="G79" s="24">
        <f>IFERROR(INDEX(tblClusters[Charge existante CPU hors migration],MATCH($B79,tblClusters[Cluster],0)),0)</f>
        <v>0</v>
      </c>
      <c r="H79" s="24">
        <f>IFERROR(INDEX(tblClusters[Charge existante RAM hors migration (Go)],MATCH($B79,tblClusters[Cluster],0)),0)</f>
        <v>0</v>
      </c>
      <c r="I79" s="24">
        <f ca="1">SUMIFS(tblApplications[CPU cible ROKS],tblApplications[Cluster ROKS cible (auto)],$B79,tblApplications[Mois de bascule prevu],"&lt;="&amp;EOMONTH($A79,0),tblApplications[Inclus projection O/N],"O")</f>
        <v>0</v>
      </c>
      <c r="J79" s="24">
        <f ca="1">SUMIFS(tblApplications[RAM cible ROKS],tblApplications[Cluster ROKS cible (auto)],$B79,tblApplications[Mois de bascule prevu],"&lt;="&amp;EOMONTH($A79,0),tblApplications[Inclus projection O/N],"O")</f>
        <v>0</v>
      </c>
      <c r="K79" s="25">
        <f t="shared" ca="1" si="6"/>
        <v>0</v>
      </c>
      <c r="L79" s="25">
        <f t="shared" ca="1" si="7"/>
        <v>0</v>
      </c>
      <c r="M79" s="26">
        <f t="shared" ca="1" si="8"/>
        <v>0</v>
      </c>
      <c r="N79" s="26">
        <f t="shared" ca="1" si="9"/>
        <v>0</v>
      </c>
      <c r="O79" s="22" t="str">
        <f ca="1">IF(E79=0,IF(K79&gt;0,"Cluster sans capacite provisionnee","n/a"),IF(OR(M79&gt;=Clusters_ROKS!$AC$5,N79&gt;=Clusters_ROKS!$AC$5),"Seuil depasse","OK"))</f>
        <v>OK</v>
      </c>
      <c r="P79" s="25">
        <f t="shared" ca="1" si="10"/>
        <v>0</v>
      </c>
      <c r="Q79" s="25">
        <f t="shared" ca="1" si="11"/>
        <v>0</v>
      </c>
      <c r="R79" s="24">
        <f ca="1">IF(AND(P79=0,Q79=0),0,IFERROR(MAX(ROUNDUP(P79/INDEX(tblClusters[vCPU / noeud (deduit)],MATCH($B79,tblClusters[Cluster],0)),0),ROUNDUP(Q79/INDEX(tblClusters[RAM / noeud - Go (deduit)],MATCH($B79,tblClusters[Cluster],0)),0)),"Flavor a definir"))</f>
        <v>0</v>
      </c>
    </row>
    <row r="80" spans="1:18" x14ac:dyDescent="0.2">
      <c r="A80" s="38">
        <v>46478</v>
      </c>
      <c r="B80" s="21" t="s">
        <v>168</v>
      </c>
      <c r="C80" s="28" t="str">
        <f>IFERROR(INDEX(tblClusters[Utilisation],MATCH($B80,tblClusters[Cluster],0)),"")</f>
        <v>LATAM Hors-Prod</v>
      </c>
      <c r="D80" s="28" t="str">
        <f>IFERROR(INDEX(tblClusters[Type (deduit)],MATCH($B80,tblClusters[Cluster],0)),"")</f>
        <v>Dedie</v>
      </c>
      <c r="E80" s="24">
        <f>IFERROR(INDEX(tblClusters[CPU max (cores)],MATCH($B80,tblClusters[Cluster],0)),0)</f>
        <v>48</v>
      </c>
      <c r="F80" s="24">
        <f>IFERROR(INDEX(tblClusters[RAM max (Go)],MATCH($B80,tblClusters[Cluster],0)),0)</f>
        <v>240</v>
      </c>
      <c r="G80" s="24">
        <f>IFERROR(INDEX(tblClusters[Charge existante CPU hors migration],MATCH($B80,tblClusters[Cluster],0)),0)</f>
        <v>0</v>
      </c>
      <c r="H80" s="24">
        <f>IFERROR(INDEX(tblClusters[Charge existante RAM hors migration (Go)],MATCH($B80,tblClusters[Cluster],0)),0)</f>
        <v>0</v>
      </c>
      <c r="I80" s="24">
        <f ca="1">SUMIFS(tblApplications[CPU cible ROKS],tblApplications[Cluster ROKS cible (auto)],$B80,tblApplications[Mois de bascule prevu],"&lt;="&amp;EOMONTH($A80,0),tblApplications[Inclus projection O/N],"O")</f>
        <v>0</v>
      </c>
      <c r="J80" s="24">
        <f ca="1">SUMIFS(tblApplications[RAM cible ROKS],tblApplications[Cluster ROKS cible (auto)],$B80,tblApplications[Mois de bascule prevu],"&lt;="&amp;EOMONTH($A80,0),tblApplications[Inclus projection O/N],"O")</f>
        <v>0</v>
      </c>
      <c r="K80" s="25">
        <f t="shared" ca="1" si="6"/>
        <v>0</v>
      </c>
      <c r="L80" s="25">
        <f t="shared" ca="1" si="7"/>
        <v>0</v>
      </c>
      <c r="M80" s="26">
        <f t="shared" ca="1" si="8"/>
        <v>0</v>
      </c>
      <c r="N80" s="26">
        <f t="shared" ca="1" si="9"/>
        <v>0</v>
      </c>
      <c r="O80" s="22" t="str">
        <f ca="1">IF(E80=0,IF(K80&gt;0,"Cluster sans capacite provisionnee","n/a"),IF(OR(M80&gt;=Clusters_ROKS!$AC$5,N80&gt;=Clusters_ROKS!$AC$5),"Seuil depasse","OK"))</f>
        <v>OK</v>
      </c>
      <c r="P80" s="25">
        <f t="shared" ca="1" si="10"/>
        <v>0</v>
      </c>
      <c r="Q80" s="25">
        <f t="shared" ca="1" si="11"/>
        <v>0</v>
      </c>
      <c r="R80" s="24">
        <f ca="1">IF(AND(P80=0,Q80=0),0,IFERROR(MAX(ROUNDUP(P80/INDEX(tblClusters[vCPU / noeud (deduit)],MATCH($B80,tblClusters[Cluster],0)),0),ROUNDUP(Q80/INDEX(tblClusters[RAM / noeud - Go (deduit)],MATCH($B80,tblClusters[Cluster],0)),0)),"Flavor a definir"))</f>
        <v>0</v>
      </c>
    </row>
    <row r="81" spans="1:18" x14ac:dyDescent="0.2">
      <c r="A81" s="38">
        <v>46508</v>
      </c>
      <c r="B81" s="21" t="s">
        <v>168</v>
      </c>
      <c r="C81" s="28" t="str">
        <f>IFERROR(INDEX(tblClusters[Utilisation],MATCH($B81,tblClusters[Cluster],0)),"")</f>
        <v>LATAM Hors-Prod</v>
      </c>
      <c r="D81" s="28" t="str">
        <f>IFERROR(INDEX(tblClusters[Type (deduit)],MATCH($B81,tblClusters[Cluster],0)),"")</f>
        <v>Dedie</v>
      </c>
      <c r="E81" s="24">
        <f>IFERROR(INDEX(tblClusters[CPU max (cores)],MATCH($B81,tblClusters[Cluster],0)),0)</f>
        <v>48</v>
      </c>
      <c r="F81" s="24">
        <f>IFERROR(INDEX(tblClusters[RAM max (Go)],MATCH($B81,tblClusters[Cluster],0)),0)</f>
        <v>240</v>
      </c>
      <c r="G81" s="24">
        <f>IFERROR(INDEX(tblClusters[Charge existante CPU hors migration],MATCH($B81,tblClusters[Cluster],0)),0)</f>
        <v>0</v>
      </c>
      <c r="H81" s="24">
        <f>IFERROR(INDEX(tblClusters[Charge existante RAM hors migration (Go)],MATCH($B81,tblClusters[Cluster],0)),0)</f>
        <v>0</v>
      </c>
      <c r="I81" s="24">
        <f ca="1">SUMIFS(tblApplications[CPU cible ROKS],tblApplications[Cluster ROKS cible (auto)],$B81,tblApplications[Mois de bascule prevu],"&lt;="&amp;EOMONTH($A81,0),tblApplications[Inclus projection O/N],"O")</f>
        <v>0</v>
      </c>
      <c r="J81" s="24">
        <f ca="1">SUMIFS(tblApplications[RAM cible ROKS],tblApplications[Cluster ROKS cible (auto)],$B81,tblApplications[Mois de bascule prevu],"&lt;="&amp;EOMONTH($A81,0),tblApplications[Inclus projection O/N],"O")</f>
        <v>0</v>
      </c>
      <c r="K81" s="25">
        <f t="shared" ca="1" si="6"/>
        <v>0</v>
      </c>
      <c r="L81" s="25">
        <f t="shared" ca="1" si="7"/>
        <v>0</v>
      </c>
      <c r="M81" s="26">
        <f t="shared" ca="1" si="8"/>
        <v>0</v>
      </c>
      <c r="N81" s="26">
        <f t="shared" ca="1" si="9"/>
        <v>0</v>
      </c>
      <c r="O81" s="22" t="str">
        <f ca="1">IF(E81=0,IF(K81&gt;0,"Cluster sans capacite provisionnee","n/a"),IF(OR(M81&gt;=Clusters_ROKS!$AC$5,N81&gt;=Clusters_ROKS!$AC$5),"Seuil depasse","OK"))</f>
        <v>OK</v>
      </c>
      <c r="P81" s="25">
        <f t="shared" ca="1" si="10"/>
        <v>0</v>
      </c>
      <c r="Q81" s="25">
        <f t="shared" ca="1" si="11"/>
        <v>0</v>
      </c>
      <c r="R81" s="24">
        <f ca="1">IF(AND(P81=0,Q81=0),0,IFERROR(MAX(ROUNDUP(P81/INDEX(tblClusters[vCPU / noeud (deduit)],MATCH($B81,tblClusters[Cluster],0)),0),ROUNDUP(Q81/INDEX(tblClusters[RAM / noeud - Go (deduit)],MATCH($B81,tblClusters[Cluster],0)),0)),"Flavor a definir"))</f>
        <v>0</v>
      </c>
    </row>
    <row r="82" spans="1:18" x14ac:dyDescent="0.2">
      <c r="A82" s="38">
        <v>46539</v>
      </c>
      <c r="B82" s="21" t="s">
        <v>168</v>
      </c>
      <c r="C82" s="28" t="str">
        <f>IFERROR(INDEX(tblClusters[Utilisation],MATCH($B82,tblClusters[Cluster],0)),"")</f>
        <v>LATAM Hors-Prod</v>
      </c>
      <c r="D82" s="28" t="str">
        <f>IFERROR(INDEX(tblClusters[Type (deduit)],MATCH($B82,tblClusters[Cluster],0)),"")</f>
        <v>Dedie</v>
      </c>
      <c r="E82" s="24">
        <f>IFERROR(INDEX(tblClusters[CPU max (cores)],MATCH($B82,tblClusters[Cluster],0)),0)</f>
        <v>48</v>
      </c>
      <c r="F82" s="24">
        <f>IFERROR(INDEX(tblClusters[RAM max (Go)],MATCH($B82,tblClusters[Cluster],0)),0)</f>
        <v>240</v>
      </c>
      <c r="G82" s="24">
        <f>IFERROR(INDEX(tblClusters[Charge existante CPU hors migration],MATCH($B82,tblClusters[Cluster],0)),0)</f>
        <v>0</v>
      </c>
      <c r="H82" s="24">
        <f>IFERROR(INDEX(tblClusters[Charge existante RAM hors migration (Go)],MATCH($B82,tblClusters[Cluster],0)),0)</f>
        <v>0</v>
      </c>
      <c r="I82" s="24">
        <f ca="1">SUMIFS(tblApplications[CPU cible ROKS],tblApplications[Cluster ROKS cible (auto)],$B82,tblApplications[Mois de bascule prevu],"&lt;="&amp;EOMONTH($A82,0),tblApplications[Inclus projection O/N],"O")</f>
        <v>0</v>
      </c>
      <c r="J82" s="24">
        <f ca="1">SUMIFS(tblApplications[RAM cible ROKS],tblApplications[Cluster ROKS cible (auto)],$B82,tblApplications[Mois de bascule prevu],"&lt;="&amp;EOMONTH($A82,0),tblApplications[Inclus projection O/N],"O")</f>
        <v>0</v>
      </c>
      <c r="K82" s="25">
        <f t="shared" ca="1" si="6"/>
        <v>0</v>
      </c>
      <c r="L82" s="25">
        <f t="shared" ca="1" si="7"/>
        <v>0</v>
      </c>
      <c r="M82" s="26">
        <f t="shared" ca="1" si="8"/>
        <v>0</v>
      </c>
      <c r="N82" s="26">
        <f t="shared" ca="1" si="9"/>
        <v>0</v>
      </c>
      <c r="O82" s="22" t="str">
        <f ca="1">IF(E82=0,IF(K82&gt;0,"Cluster sans capacite provisionnee","n/a"),IF(OR(M82&gt;=Clusters_ROKS!$AC$5,N82&gt;=Clusters_ROKS!$AC$5),"Seuil depasse","OK"))</f>
        <v>OK</v>
      </c>
      <c r="P82" s="25">
        <f t="shared" ca="1" si="10"/>
        <v>0</v>
      </c>
      <c r="Q82" s="25">
        <f t="shared" ca="1" si="11"/>
        <v>0</v>
      </c>
      <c r="R82" s="24">
        <f ca="1">IF(AND(P82=0,Q82=0),0,IFERROR(MAX(ROUNDUP(P82/INDEX(tblClusters[vCPU / noeud (deduit)],MATCH($B82,tblClusters[Cluster],0)),0),ROUNDUP(Q82/INDEX(tblClusters[RAM / noeud - Go (deduit)],MATCH($B82,tblClusters[Cluster],0)),0)),"Flavor a definir"))</f>
        <v>0</v>
      </c>
    </row>
    <row r="83" spans="1:18" x14ac:dyDescent="0.2">
      <c r="A83" s="38">
        <v>46569</v>
      </c>
      <c r="B83" s="21" t="s">
        <v>168</v>
      </c>
      <c r="C83" s="28" t="str">
        <f>IFERROR(INDEX(tblClusters[Utilisation],MATCH($B83,tblClusters[Cluster],0)),"")</f>
        <v>LATAM Hors-Prod</v>
      </c>
      <c r="D83" s="28" t="str">
        <f>IFERROR(INDEX(tblClusters[Type (deduit)],MATCH($B83,tblClusters[Cluster],0)),"")</f>
        <v>Dedie</v>
      </c>
      <c r="E83" s="24">
        <f>IFERROR(INDEX(tblClusters[CPU max (cores)],MATCH($B83,tblClusters[Cluster],0)),0)</f>
        <v>48</v>
      </c>
      <c r="F83" s="24">
        <f>IFERROR(INDEX(tblClusters[RAM max (Go)],MATCH($B83,tblClusters[Cluster],0)),0)</f>
        <v>240</v>
      </c>
      <c r="G83" s="24">
        <f>IFERROR(INDEX(tblClusters[Charge existante CPU hors migration],MATCH($B83,tblClusters[Cluster],0)),0)</f>
        <v>0</v>
      </c>
      <c r="H83" s="24">
        <f>IFERROR(INDEX(tblClusters[Charge existante RAM hors migration (Go)],MATCH($B83,tblClusters[Cluster],0)),0)</f>
        <v>0</v>
      </c>
      <c r="I83" s="24">
        <f ca="1">SUMIFS(tblApplications[CPU cible ROKS],tblApplications[Cluster ROKS cible (auto)],$B83,tblApplications[Mois de bascule prevu],"&lt;="&amp;EOMONTH($A83,0),tblApplications[Inclus projection O/N],"O")</f>
        <v>0</v>
      </c>
      <c r="J83" s="24">
        <f ca="1">SUMIFS(tblApplications[RAM cible ROKS],tblApplications[Cluster ROKS cible (auto)],$B83,tblApplications[Mois de bascule prevu],"&lt;="&amp;EOMONTH($A83,0),tblApplications[Inclus projection O/N],"O")</f>
        <v>0</v>
      </c>
      <c r="K83" s="25">
        <f t="shared" ca="1" si="6"/>
        <v>0</v>
      </c>
      <c r="L83" s="25">
        <f t="shared" ca="1" si="7"/>
        <v>0</v>
      </c>
      <c r="M83" s="26">
        <f t="shared" ca="1" si="8"/>
        <v>0</v>
      </c>
      <c r="N83" s="26">
        <f t="shared" ca="1" si="9"/>
        <v>0</v>
      </c>
      <c r="O83" s="22" t="str">
        <f ca="1">IF(E83=0,IF(K83&gt;0,"Cluster sans capacite provisionnee","n/a"),IF(OR(M83&gt;=Clusters_ROKS!$AC$5,N83&gt;=Clusters_ROKS!$AC$5),"Seuil depasse","OK"))</f>
        <v>OK</v>
      </c>
      <c r="P83" s="25">
        <f t="shared" ca="1" si="10"/>
        <v>0</v>
      </c>
      <c r="Q83" s="25">
        <f t="shared" ca="1" si="11"/>
        <v>0</v>
      </c>
      <c r="R83" s="24">
        <f ca="1">IF(AND(P83=0,Q83=0),0,IFERROR(MAX(ROUNDUP(P83/INDEX(tblClusters[vCPU / noeud (deduit)],MATCH($B83,tblClusters[Cluster],0)),0),ROUNDUP(Q83/INDEX(tblClusters[RAM / noeud - Go (deduit)],MATCH($B83,tblClusters[Cluster],0)),0)),"Flavor a definir"))</f>
        <v>0</v>
      </c>
    </row>
    <row r="84" spans="1:18" x14ac:dyDescent="0.2">
      <c r="A84" s="38">
        <v>46600</v>
      </c>
      <c r="B84" s="21" t="s">
        <v>168</v>
      </c>
      <c r="C84" s="28" t="str">
        <f>IFERROR(INDEX(tblClusters[Utilisation],MATCH($B84,tblClusters[Cluster],0)),"")</f>
        <v>LATAM Hors-Prod</v>
      </c>
      <c r="D84" s="28" t="str">
        <f>IFERROR(INDEX(tblClusters[Type (deduit)],MATCH($B84,tblClusters[Cluster],0)),"")</f>
        <v>Dedie</v>
      </c>
      <c r="E84" s="24">
        <f>IFERROR(INDEX(tblClusters[CPU max (cores)],MATCH($B84,tblClusters[Cluster],0)),0)</f>
        <v>48</v>
      </c>
      <c r="F84" s="24">
        <f>IFERROR(INDEX(tblClusters[RAM max (Go)],MATCH($B84,tblClusters[Cluster],0)),0)</f>
        <v>240</v>
      </c>
      <c r="G84" s="24">
        <f>IFERROR(INDEX(tblClusters[Charge existante CPU hors migration],MATCH($B84,tblClusters[Cluster],0)),0)</f>
        <v>0</v>
      </c>
      <c r="H84" s="24">
        <f>IFERROR(INDEX(tblClusters[Charge existante RAM hors migration (Go)],MATCH($B84,tblClusters[Cluster],0)),0)</f>
        <v>0</v>
      </c>
      <c r="I84" s="24">
        <f ca="1">SUMIFS(tblApplications[CPU cible ROKS],tblApplications[Cluster ROKS cible (auto)],$B84,tblApplications[Mois de bascule prevu],"&lt;="&amp;EOMONTH($A84,0),tblApplications[Inclus projection O/N],"O")</f>
        <v>0</v>
      </c>
      <c r="J84" s="24">
        <f ca="1">SUMIFS(tblApplications[RAM cible ROKS],tblApplications[Cluster ROKS cible (auto)],$B84,tblApplications[Mois de bascule prevu],"&lt;="&amp;EOMONTH($A84,0),tblApplications[Inclus projection O/N],"O")</f>
        <v>0</v>
      </c>
      <c r="K84" s="25">
        <f t="shared" ca="1" si="6"/>
        <v>0</v>
      </c>
      <c r="L84" s="25">
        <f t="shared" ca="1" si="7"/>
        <v>0</v>
      </c>
      <c r="M84" s="26">
        <f t="shared" ca="1" si="8"/>
        <v>0</v>
      </c>
      <c r="N84" s="26">
        <f t="shared" ca="1" si="9"/>
        <v>0</v>
      </c>
      <c r="O84" s="22" t="str">
        <f ca="1">IF(E84=0,IF(K84&gt;0,"Cluster sans capacite provisionnee","n/a"),IF(OR(M84&gt;=Clusters_ROKS!$AC$5,N84&gt;=Clusters_ROKS!$AC$5),"Seuil depasse","OK"))</f>
        <v>OK</v>
      </c>
      <c r="P84" s="25">
        <f t="shared" ca="1" si="10"/>
        <v>0</v>
      </c>
      <c r="Q84" s="25">
        <f t="shared" ca="1" si="11"/>
        <v>0</v>
      </c>
      <c r="R84" s="24">
        <f ca="1">IF(AND(P84=0,Q84=0),0,IFERROR(MAX(ROUNDUP(P84/INDEX(tblClusters[vCPU / noeud (deduit)],MATCH($B84,tblClusters[Cluster],0)),0),ROUNDUP(Q84/INDEX(tblClusters[RAM / noeud - Go (deduit)],MATCH($B84,tblClusters[Cluster],0)),0)),"Flavor a definir"))</f>
        <v>0</v>
      </c>
    </row>
    <row r="85" spans="1:18" x14ac:dyDescent="0.2">
      <c r="A85" s="38">
        <v>46631</v>
      </c>
      <c r="B85" s="21" t="s">
        <v>168</v>
      </c>
      <c r="C85" s="28" t="str">
        <f>IFERROR(INDEX(tblClusters[Utilisation],MATCH($B85,tblClusters[Cluster],0)),"")</f>
        <v>LATAM Hors-Prod</v>
      </c>
      <c r="D85" s="28" t="str">
        <f>IFERROR(INDEX(tblClusters[Type (deduit)],MATCH($B85,tblClusters[Cluster],0)),"")</f>
        <v>Dedie</v>
      </c>
      <c r="E85" s="24">
        <f>IFERROR(INDEX(tblClusters[CPU max (cores)],MATCH($B85,tblClusters[Cluster],0)),0)</f>
        <v>48</v>
      </c>
      <c r="F85" s="24">
        <f>IFERROR(INDEX(tblClusters[RAM max (Go)],MATCH($B85,tblClusters[Cluster],0)),0)</f>
        <v>240</v>
      </c>
      <c r="G85" s="24">
        <f>IFERROR(INDEX(tblClusters[Charge existante CPU hors migration],MATCH($B85,tblClusters[Cluster],0)),0)</f>
        <v>0</v>
      </c>
      <c r="H85" s="24">
        <f>IFERROR(INDEX(tblClusters[Charge existante RAM hors migration (Go)],MATCH($B85,tblClusters[Cluster],0)),0)</f>
        <v>0</v>
      </c>
      <c r="I85" s="24">
        <f ca="1">SUMIFS(tblApplications[CPU cible ROKS],tblApplications[Cluster ROKS cible (auto)],$B85,tblApplications[Mois de bascule prevu],"&lt;="&amp;EOMONTH($A85,0),tblApplications[Inclus projection O/N],"O")</f>
        <v>0</v>
      </c>
      <c r="J85" s="24">
        <f ca="1">SUMIFS(tblApplications[RAM cible ROKS],tblApplications[Cluster ROKS cible (auto)],$B85,tblApplications[Mois de bascule prevu],"&lt;="&amp;EOMONTH($A85,0),tblApplications[Inclus projection O/N],"O")</f>
        <v>0</v>
      </c>
      <c r="K85" s="25">
        <f t="shared" ca="1" si="6"/>
        <v>0</v>
      </c>
      <c r="L85" s="25">
        <f t="shared" ca="1" si="7"/>
        <v>0</v>
      </c>
      <c r="M85" s="26">
        <f t="shared" ca="1" si="8"/>
        <v>0</v>
      </c>
      <c r="N85" s="26">
        <f t="shared" ca="1" si="9"/>
        <v>0</v>
      </c>
      <c r="O85" s="22" t="str">
        <f ca="1">IF(E85=0,IF(K85&gt;0,"Cluster sans capacite provisionnee","n/a"),IF(OR(M85&gt;=Clusters_ROKS!$AC$5,N85&gt;=Clusters_ROKS!$AC$5),"Seuil depasse","OK"))</f>
        <v>OK</v>
      </c>
      <c r="P85" s="25">
        <f t="shared" ca="1" si="10"/>
        <v>0</v>
      </c>
      <c r="Q85" s="25">
        <f t="shared" ca="1" si="11"/>
        <v>0</v>
      </c>
      <c r="R85" s="24">
        <f ca="1">IF(AND(P85=0,Q85=0),0,IFERROR(MAX(ROUNDUP(P85/INDEX(tblClusters[vCPU / noeud (deduit)],MATCH($B85,tblClusters[Cluster],0)),0),ROUNDUP(Q85/INDEX(tblClusters[RAM / noeud - Go (deduit)],MATCH($B85,tblClusters[Cluster],0)),0)),"Flavor a definir"))</f>
        <v>0</v>
      </c>
    </row>
    <row r="86" spans="1:18" x14ac:dyDescent="0.2">
      <c r="A86" s="38">
        <v>46661</v>
      </c>
      <c r="B86" s="21" t="s">
        <v>168</v>
      </c>
      <c r="C86" s="28" t="str">
        <f>IFERROR(INDEX(tblClusters[Utilisation],MATCH($B86,tblClusters[Cluster],0)),"")</f>
        <v>LATAM Hors-Prod</v>
      </c>
      <c r="D86" s="28" t="str">
        <f>IFERROR(INDEX(tblClusters[Type (deduit)],MATCH($B86,tblClusters[Cluster],0)),"")</f>
        <v>Dedie</v>
      </c>
      <c r="E86" s="24">
        <f>IFERROR(INDEX(tblClusters[CPU max (cores)],MATCH($B86,tblClusters[Cluster],0)),0)</f>
        <v>48</v>
      </c>
      <c r="F86" s="24">
        <f>IFERROR(INDEX(tblClusters[RAM max (Go)],MATCH($B86,tblClusters[Cluster],0)),0)</f>
        <v>240</v>
      </c>
      <c r="G86" s="24">
        <f>IFERROR(INDEX(tblClusters[Charge existante CPU hors migration],MATCH($B86,tblClusters[Cluster],0)),0)</f>
        <v>0</v>
      </c>
      <c r="H86" s="24">
        <f>IFERROR(INDEX(tblClusters[Charge existante RAM hors migration (Go)],MATCH($B86,tblClusters[Cluster],0)),0)</f>
        <v>0</v>
      </c>
      <c r="I86" s="24">
        <f ca="1">SUMIFS(tblApplications[CPU cible ROKS],tblApplications[Cluster ROKS cible (auto)],$B86,tblApplications[Mois de bascule prevu],"&lt;="&amp;EOMONTH($A86,0),tblApplications[Inclus projection O/N],"O")</f>
        <v>0</v>
      </c>
      <c r="J86" s="24">
        <f ca="1">SUMIFS(tblApplications[RAM cible ROKS],tblApplications[Cluster ROKS cible (auto)],$B86,tblApplications[Mois de bascule prevu],"&lt;="&amp;EOMONTH($A86,0),tblApplications[Inclus projection O/N],"O")</f>
        <v>0</v>
      </c>
      <c r="K86" s="25">
        <f t="shared" ca="1" si="6"/>
        <v>0</v>
      </c>
      <c r="L86" s="25">
        <f t="shared" ca="1" si="7"/>
        <v>0</v>
      </c>
      <c r="M86" s="26">
        <f t="shared" ca="1" si="8"/>
        <v>0</v>
      </c>
      <c r="N86" s="26">
        <f t="shared" ca="1" si="9"/>
        <v>0</v>
      </c>
      <c r="O86" s="22" t="str">
        <f ca="1">IF(E86=0,IF(K86&gt;0,"Cluster sans capacite provisionnee","n/a"),IF(OR(M86&gt;=Clusters_ROKS!$AC$5,N86&gt;=Clusters_ROKS!$AC$5),"Seuil depasse","OK"))</f>
        <v>OK</v>
      </c>
      <c r="P86" s="25">
        <f t="shared" ca="1" si="10"/>
        <v>0</v>
      </c>
      <c r="Q86" s="25">
        <f t="shared" ca="1" si="11"/>
        <v>0</v>
      </c>
      <c r="R86" s="24">
        <f ca="1">IF(AND(P86=0,Q86=0),0,IFERROR(MAX(ROUNDUP(P86/INDEX(tblClusters[vCPU / noeud (deduit)],MATCH($B86,tblClusters[Cluster],0)),0),ROUNDUP(Q86/INDEX(tblClusters[RAM / noeud - Go (deduit)],MATCH($B86,tblClusters[Cluster],0)),0)),"Flavor a definir"))</f>
        <v>0</v>
      </c>
    </row>
    <row r="87" spans="1:18" x14ac:dyDescent="0.2">
      <c r="A87" s="38">
        <v>46692</v>
      </c>
      <c r="B87" s="21" t="s">
        <v>168</v>
      </c>
      <c r="C87" s="28" t="str">
        <f>IFERROR(INDEX(tblClusters[Utilisation],MATCH($B87,tblClusters[Cluster],0)),"")</f>
        <v>LATAM Hors-Prod</v>
      </c>
      <c r="D87" s="28" t="str">
        <f>IFERROR(INDEX(tblClusters[Type (deduit)],MATCH($B87,tblClusters[Cluster],0)),"")</f>
        <v>Dedie</v>
      </c>
      <c r="E87" s="24">
        <f>IFERROR(INDEX(tblClusters[CPU max (cores)],MATCH($B87,tblClusters[Cluster],0)),0)</f>
        <v>48</v>
      </c>
      <c r="F87" s="24">
        <f>IFERROR(INDEX(tblClusters[RAM max (Go)],MATCH($B87,tblClusters[Cluster],0)),0)</f>
        <v>240</v>
      </c>
      <c r="G87" s="24">
        <f>IFERROR(INDEX(tblClusters[Charge existante CPU hors migration],MATCH($B87,tblClusters[Cluster],0)),0)</f>
        <v>0</v>
      </c>
      <c r="H87" s="24">
        <f>IFERROR(INDEX(tblClusters[Charge existante RAM hors migration (Go)],MATCH($B87,tblClusters[Cluster],0)),0)</f>
        <v>0</v>
      </c>
      <c r="I87" s="24">
        <f ca="1">SUMIFS(tblApplications[CPU cible ROKS],tblApplications[Cluster ROKS cible (auto)],$B87,tblApplications[Mois de bascule prevu],"&lt;="&amp;EOMONTH($A87,0),tblApplications[Inclus projection O/N],"O")</f>
        <v>0</v>
      </c>
      <c r="J87" s="24">
        <f ca="1">SUMIFS(tblApplications[RAM cible ROKS],tblApplications[Cluster ROKS cible (auto)],$B87,tblApplications[Mois de bascule prevu],"&lt;="&amp;EOMONTH($A87,0),tblApplications[Inclus projection O/N],"O")</f>
        <v>0</v>
      </c>
      <c r="K87" s="25">
        <f t="shared" ca="1" si="6"/>
        <v>0</v>
      </c>
      <c r="L87" s="25">
        <f t="shared" ca="1" si="7"/>
        <v>0</v>
      </c>
      <c r="M87" s="26">
        <f t="shared" ca="1" si="8"/>
        <v>0</v>
      </c>
      <c r="N87" s="26">
        <f t="shared" ca="1" si="9"/>
        <v>0</v>
      </c>
      <c r="O87" s="22" t="str">
        <f ca="1">IF(E87=0,IF(K87&gt;0,"Cluster sans capacite provisionnee","n/a"),IF(OR(M87&gt;=Clusters_ROKS!$AC$5,N87&gt;=Clusters_ROKS!$AC$5),"Seuil depasse","OK"))</f>
        <v>OK</v>
      </c>
      <c r="P87" s="25">
        <f t="shared" ca="1" si="10"/>
        <v>0</v>
      </c>
      <c r="Q87" s="25">
        <f t="shared" ca="1" si="11"/>
        <v>0</v>
      </c>
      <c r="R87" s="24">
        <f ca="1">IF(AND(P87=0,Q87=0),0,IFERROR(MAX(ROUNDUP(P87/INDEX(tblClusters[vCPU / noeud (deduit)],MATCH($B87,tblClusters[Cluster],0)),0),ROUNDUP(Q87/INDEX(tblClusters[RAM / noeud - Go (deduit)],MATCH($B87,tblClusters[Cluster],0)),0)),"Flavor a definir"))</f>
        <v>0</v>
      </c>
    </row>
    <row r="88" spans="1:18" x14ac:dyDescent="0.2">
      <c r="A88" s="38">
        <v>46722</v>
      </c>
      <c r="B88" s="21" t="s">
        <v>168</v>
      </c>
      <c r="C88" s="28" t="str">
        <f>IFERROR(INDEX(tblClusters[Utilisation],MATCH($B88,tblClusters[Cluster],0)),"")</f>
        <v>LATAM Hors-Prod</v>
      </c>
      <c r="D88" s="28" t="str">
        <f>IFERROR(INDEX(tblClusters[Type (deduit)],MATCH($B88,tblClusters[Cluster],0)),"")</f>
        <v>Dedie</v>
      </c>
      <c r="E88" s="24">
        <f>IFERROR(INDEX(tblClusters[CPU max (cores)],MATCH($B88,tblClusters[Cluster],0)),0)</f>
        <v>48</v>
      </c>
      <c r="F88" s="24">
        <f>IFERROR(INDEX(tblClusters[RAM max (Go)],MATCH($B88,tblClusters[Cluster],0)),0)</f>
        <v>240</v>
      </c>
      <c r="G88" s="24">
        <f>IFERROR(INDEX(tblClusters[Charge existante CPU hors migration],MATCH($B88,tblClusters[Cluster],0)),0)</f>
        <v>0</v>
      </c>
      <c r="H88" s="24">
        <f>IFERROR(INDEX(tblClusters[Charge existante RAM hors migration (Go)],MATCH($B88,tblClusters[Cluster],0)),0)</f>
        <v>0</v>
      </c>
      <c r="I88" s="24">
        <f ca="1">SUMIFS(tblApplications[CPU cible ROKS],tblApplications[Cluster ROKS cible (auto)],$B88,tblApplications[Mois de bascule prevu],"&lt;="&amp;EOMONTH($A88,0),tblApplications[Inclus projection O/N],"O")</f>
        <v>0</v>
      </c>
      <c r="J88" s="24">
        <f ca="1">SUMIFS(tblApplications[RAM cible ROKS],tblApplications[Cluster ROKS cible (auto)],$B88,tblApplications[Mois de bascule prevu],"&lt;="&amp;EOMONTH($A88,0),tblApplications[Inclus projection O/N],"O")</f>
        <v>0</v>
      </c>
      <c r="K88" s="25">
        <f t="shared" ca="1" si="6"/>
        <v>0</v>
      </c>
      <c r="L88" s="25">
        <f t="shared" ca="1" si="7"/>
        <v>0</v>
      </c>
      <c r="M88" s="26">
        <f t="shared" ca="1" si="8"/>
        <v>0</v>
      </c>
      <c r="N88" s="26">
        <f t="shared" ca="1" si="9"/>
        <v>0</v>
      </c>
      <c r="O88" s="22" t="str">
        <f ca="1">IF(E88=0,IF(K88&gt;0,"Cluster sans capacite provisionnee","n/a"),IF(OR(M88&gt;=Clusters_ROKS!$AC$5,N88&gt;=Clusters_ROKS!$AC$5),"Seuil depasse","OK"))</f>
        <v>OK</v>
      </c>
      <c r="P88" s="25">
        <f t="shared" ca="1" si="10"/>
        <v>0</v>
      </c>
      <c r="Q88" s="25">
        <f t="shared" ca="1" si="11"/>
        <v>0</v>
      </c>
      <c r="R88" s="24">
        <f ca="1">IF(AND(P88=0,Q88=0),0,IFERROR(MAX(ROUNDUP(P88/INDEX(tblClusters[vCPU / noeud (deduit)],MATCH($B88,tblClusters[Cluster],0)),0),ROUNDUP(Q88/INDEX(tblClusters[RAM / noeud - Go (deduit)],MATCH($B88,tblClusters[Cluster],0)),0)),"Flavor a definir"))</f>
        <v>0</v>
      </c>
    </row>
    <row r="89" spans="1:18" x14ac:dyDescent="0.2">
      <c r="A89" s="38">
        <v>46388</v>
      </c>
      <c r="B89" s="21" t="s">
        <v>170</v>
      </c>
      <c r="C89" s="28" t="str">
        <f>IFERROR(INDEX(tblClusters[Utilisation],MATCH($B89,tblClusters[Cluster],0)),"")</f>
        <v>LATAM Hors-Prod</v>
      </c>
      <c r="D89" s="28" t="str">
        <f>IFERROR(INDEX(tblClusters[Type (deduit)],MATCH($B89,tblClusters[Cluster],0)),"")</f>
        <v>Dedie</v>
      </c>
      <c r="E89" s="24">
        <f>IFERROR(INDEX(tblClusters[CPU max (cores)],MATCH($B89,tblClusters[Cluster],0)),0)</f>
        <v>0</v>
      </c>
      <c r="F89" s="24">
        <f>IFERROR(INDEX(tblClusters[RAM max (Go)],MATCH($B89,tblClusters[Cluster],0)),0)</f>
        <v>0</v>
      </c>
      <c r="G89" s="24">
        <f>IFERROR(INDEX(tblClusters[Charge existante CPU hors migration],MATCH($B89,tblClusters[Cluster],0)),0)</f>
        <v>0</v>
      </c>
      <c r="H89" s="24">
        <f>IFERROR(INDEX(tblClusters[Charge existante RAM hors migration (Go)],MATCH($B89,tblClusters[Cluster],0)),0)</f>
        <v>0</v>
      </c>
      <c r="I89" s="24">
        <f ca="1">SUMIFS(tblApplications[CPU cible ROKS],tblApplications[Cluster ROKS cible (auto)],$B89,tblApplications[Mois de bascule prevu],"&lt;="&amp;EOMONTH($A89,0),tblApplications[Inclus projection O/N],"O")</f>
        <v>0</v>
      </c>
      <c r="J89" s="24">
        <f ca="1">SUMIFS(tblApplications[RAM cible ROKS],tblApplications[Cluster ROKS cible (auto)],$B89,tblApplications[Mois de bascule prevu],"&lt;="&amp;EOMONTH($A89,0),tblApplications[Inclus projection O/N],"O")</f>
        <v>0</v>
      </c>
      <c r="K89" s="25">
        <f t="shared" ca="1" si="6"/>
        <v>0</v>
      </c>
      <c r="L89" s="25">
        <f t="shared" ca="1" si="7"/>
        <v>0</v>
      </c>
      <c r="M89" s="26" t="str">
        <f t="shared" si="8"/>
        <v/>
      </c>
      <c r="N89" s="26" t="str">
        <f t="shared" si="9"/>
        <v/>
      </c>
      <c r="O89" s="22" t="str">
        <f ca="1">IF(E89=0,IF(K89&gt;0,"Cluster sans capacite provisionnee","n/a"),IF(OR(M89&gt;=Clusters_ROKS!$AC$5,N89&gt;=Clusters_ROKS!$AC$5),"Seuil depasse","OK"))</f>
        <v>n/a</v>
      </c>
      <c r="P89" s="25">
        <f t="shared" ca="1" si="10"/>
        <v>0</v>
      </c>
      <c r="Q89" s="25">
        <f t="shared" ca="1" si="11"/>
        <v>0</v>
      </c>
      <c r="R89" s="24">
        <f ca="1">IF(AND(P89=0,Q89=0),0,IFERROR(MAX(ROUNDUP(P89/INDEX(tblClusters[vCPU / noeud (deduit)],MATCH($B89,tblClusters[Cluster],0)),0),ROUNDUP(Q89/INDEX(tblClusters[RAM / noeud - Go (deduit)],MATCH($B89,tblClusters[Cluster],0)),0)),"Flavor a definir"))</f>
        <v>0</v>
      </c>
    </row>
    <row r="90" spans="1:18" x14ac:dyDescent="0.2">
      <c r="A90" s="38">
        <v>46419</v>
      </c>
      <c r="B90" s="21" t="s">
        <v>170</v>
      </c>
      <c r="C90" s="28" t="str">
        <f>IFERROR(INDEX(tblClusters[Utilisation],MATCH($B90,tblClusters[Cluster],0)),"")</f>
        <v>LATAM Hors-Prod</v>
      </c>
      <c r="D90" s="28" t="str">
        <f>IFERROR(INDEX(tblClusters[Type (deduit)],MATCH($B90,tblClusters[Cluster],0)),"")</f>
        <v>Dedie</v>
      </c>
      <c r="E90" s="24">
        <f>IFERROR(INDEX(tblClusters[CPU max (cores)],MATCH($B90,tblClusters[Cluster],0)),0)</f>
        <v>0</v>
      </c>
      <c r="F90" s="24">
        <f>IFERROR(INDEX(tblClusters[RAM max (Go)],MATCH($B90,tblClusters[Cluster],0)),0)</f>
        <v>0</v>
      </c>
      <c r="G90" s="24">
        <f>IFERROR(INDEX(tblClusters[Charge existante CPU hors migration],MATCH($B90,tblClusters[Cluster],0)),0)</f>
        <v>0</v>
      </c>
      <c r="H90" s="24">
        <f>IFERROR(INDEX(tblClusters[Charge existante RAM hors migration (Go)],MATCH($B90,tblClusters[Cluster],0)),0)</f>
        <v>0</v>
      </c>
      <c r="I90" s="24">
        <f ca="1">SUMIFS(tblApplications[CPU cible ROKS],tblApplications[Cluster ROKS cible (auto)],$B90,tblApplications[Mois de bascule prevu],"&lt;="&amp;EOMONTH($A90,0),tblApplications[Inclus projection O/N],"O")</f>
        <v>0</v>
      </c>
      <c r="J90" s="24">
        <f ca="1">SUMIFS(tblApplications[RAM cible ROKS],tblApplications[Cluster ROKS cible (auto)],$B90,tblApplications[Mois de bascule prevu],"&lt;="&amp;EOMONTH($A90,0),tblApplications[Inclus projection O/N],"O")</f>
        <v>0</v>
      </c>
      <c r="K90" s="25">
        <f t="shared" ca="1" si="6"/>
        <v>0</v>
      </c>
      <c r="L90" s="25">
        <f t="shared" ca="1" si="7"/>
        <v>0</v>
      </c>
      <c r="M90" s="26" t="str">
        <f t="shared" si="8"/>
        <v/>
      </c>
      <c r="N90" s="26" t="str">
        <f t="shared" si="9"/>
        <v/>
      </c>
      <c r="O90" s="22" t="str">
        <f ca="1">IF(E90=0,IF(K90&gt;0,"Cluster sans capacite provisionnee","n/a"),IF(OR(M90&gt;=Clusters_ROKS!$AC$5,N90&gt;=Clusters_ROKS!$AC$5),"Seuil depasse","OK"))</f>
        <v>n/a</v>
      </c>
      <c r="P90" s="25">
        <f t="shared" ca="1" si="10"/>
        <v>0</v>
      </c>
      <c r="Q90" s="25">
        <f t="shared" ca="1" si="11"/>
        <v>0</v>
      </c>
      <c r="R90" s="24">
        <f ca="1">IF(AND(P90=0,Q90=0),0,IFERROR(MAX(ROUNDUP(P90/INDEX(tblClusters[vCPU / noeud (deduit)],MATCH($B90,tblClusters[Cluster],0)),0),ROUNDUP(Q90/INDEX(tblClusters[RAM / noeud - Go (deduit)],MATCH($B90,tblClusters[Cluster],0)),0)),"Flavor a definir"))</f>
        <v>0</v>
      </c>
    </row>
    <row r="91" spans="1:18" x14ac:dyDescent="0.2">
      <c r="A91" s="38">
        <v>46447</v>
      </c>
      <c r="B91" s="21" t="s">
        <v>170</v>
      </c>
      <c r="C91" s="28" t="str">
        <f>IFERROR(INDEX(tblClusters[Utilisation],MATCH($B91,tblClusters[Cluster],0)),"")</f>
        <v>LATAM Hors-Prod</v>
      </c>
      <c r="D91" s="28" t="str">
        <f>IFERROR(INDEX(tblClusters[Type (deduit)],MATCH($B91,tblClusters[Cluster],0)),"")</f>
        <v>Dedie</v>
      </c>
      <c r="E91" s="24">
        <f>IFERROR(INDEX(tblClusters[CPU max (cores)],MATCH($B91,tblClusters[Cluster],0)),0)</f>
        <v>0</v>
      </c>
      <c r="F91" s="24">
        <f>IFERROR(INDEX(tblClusters[RAM max (Go)],MATCH($B91,tblClusters[Cluster],0)),0)</f>
        <v>0</v>
      </c>
      <c r="G91" s="24">
        <f>IFERROR(INDEX(tblClusters[Charge existante CPU hors migration],MATCH($B91,tblClusters[Cluster],0)),0)</f>
        <v>0</v>
      </c>
      <c r="H91" s="24">
        <f>IFERROR(INDEX(tblClusters[Charge existante RAM hors migration (Go)],MATCH($B91,tblClusters[Cluster],0)),0)</f>
        <v>0</v>
      </c>
      <c r="I91" s="24">
        <f ca="1">SUMIFS(tblApplications[CPU cible ROKS],tblApplications[Cluster ROKS cible (auto)],$B91,tblApplications[Mois de bascule prevu],"&lt;="&amp;EOMONTH($A91,0),tblApplications[Inclus projection O/N],"O")</f>
        <v>0</v>
      </c>
      <c r="J91" s="24">
        <f ca="1">SUMIFS(tblApplications[RAM cible ROKS],tblApplications[Cluster ROKS cible (auto)],$B91,tblApplications[Mois de bascule prevu],"&lt;="&amp;EOMONTH($A91,0),tblApplications[Inclus projection O/N],"O")</f>
        <v>0</v>
      </c>
      <c r="K91" s="25">
        <f t="shared" ca="1" si="6"/>
        <v>0</v>
      </c>
      <c r="L91" s="25">
        <f t="shared" ca="1" si="7"/>
        <v>0</v>
      </c>
      <c r="M91" s="26" t="str">
        <f t="shared" si="8"/>
        <v/>
      </c>
      <c r="N91" s="26" t="str">
        <f t="shared" si="9"/>
        <v/>
      </c>
      <c r="O91" s="22" t="str">
        <f ca="1">IF(E91=0,IF(K91&gt;0,"Cluster sans capacite provisionnee","n/a"),IF(OR(M91&gt;=Clusters_ROKS!$AC$5,N91&gt;=Clusters_ROKS!$AC$5),"Seuil depasse","OK"))</f>
        <v>n/a</v>
      </c>
      <c r="P91" s="25">
        <f t="shared" ca="1" si="10"/>
        <v>0</v>
      </c>
      <c r="Q91" s="25">
        <f t="shared" ca="1" si="11"/>
        <v>0</v>
      </c>
      <c r="R91" s="24">
        <f ca="1">IF(AND(P91=0,Q91=0),0,IFERROR(MAX(ROUNDUP(P91/INDEX(tblClusters[vCPU / noeud (deduit)],MATCH($B91,tblClusters[Cluster],0)),0),ROUNDUP(Q91/INDEX(tblClusters[RAM / noeud - Go (deduit)],MATCH($B91,tblClusters[Cluster],0)),0)),"Flavor a definir"))</f>
        <v>0</v>
      </c>
    </row>
    <row r="92" spans="1:18" x14ac:dyDescent="0.2">
      <c r="A92" s="38">
        <v>46478</v>
      </c>
      <c r="B92" s="21" t="s">
        <v>170</v>
      </c>
      <c r="C92" s="28" t="str">
        <f>IFERROR(INDEX(tblClusters[Utilisation],MATCH($B92,tblClusters[Cluster],0)),"")</f>
        <v>LATAM Hors-Prod</v>
      </c>
      <c r="D92" s="28" t="str">
        <f>IFERROR(INDEX(tblClusters[Type (deduit)],MATCH($B92,tblClusters[Cluster],0)),"")</f>
        <v>Dedie</v>
      </c>
      <c r="E92" s="24">
        <f>IFERROR(INDEX(tblClusters[CPU max (cores)],MATCH($B92,tblClusters[Cluster],0)),0)</f>
        <v>0</v>
      </c>
      <c r="F92" s="24">
        <f>IFERROR(INDEX(tblClusters[RAM max (Go)],MATCH($B92,tblClusters[Cluster],0)),0)</f>
        <v>0</v>
      </c>
      <c r="G92" s="24">
        <f>IFERROR(INDEX(tblClusters[Charge existante CPU hors migration],MATCH($B92,tblClusters[Cluster],0)),0)</f>
        <v>0</v>
      </c>
      <c r="H92" s="24">
        <f>IFERROR(INDEX(tblClusters[Charge existante RAM hors migration (Go)],MATCH($B92,tblClusters[Cluster],0)),0)</f>
        <v>0</v>
      </c>
      <c r="I92" s="24">
        <f ca="1">SUMIFS(tblApplications[CPU cible ROKS],tblApplications[Cluster ROKS cible (auto)],$B92,tblApplications[Mois de bascule prevu],"&lt;="&amp;EOMONTH($A92,0),tblApplications[Inclus projection O/N],"O")</f>
        <v>0</v>
      </c>
      <c r="J92" s="24">
        <f ca="1">SUMIFS(tblApplications[RAM cible ROKS],tblApplications[Cluster ROKS cible (auto)],$B92,tblApplications[Mois de bascule prevu],"&lt;="&amp;EOMONTH($A92,0),tblApplications[Inclus projection O/N],"O")</f>
        <v>0</v>
      </c>
      <c r="K92" s="25">
        <f t="shared" ca="1" si="6"/>
        <v>0</v>
      </c>
      <c r="L92" s="25">
        <f t="shared" ca="1" si="7"/>
        <v>0</v>
      </c>
      <c r="M92" s="26" t="str">
        <f t="shared" si="8"/>
        <v/>
      </c>
      <c r="N92" s="26" t="str">
        <f t="shared" si="9"/>
        <v/>
      </c>
      <c r="O92" s="22" t="str">
        <f ca="1">IF(E92=0,IF(K92&gt;0,"Cluster sans capacite provisionnee","n/a"),IF(OR(M92&gt;=Clusters_ROKS!$AC$5,N92&gt;=Clusters_ROKS!$AC$5),"Seuil depasse","OK"))</f>
        <v>n/a</v>
      </c>
      <c r="P92" s="25">
        <f t="shared" ca="1" si="10"/>
        <v>0</v>
      </c>
      <c r="Q92" s="25">
        <f t="shared" ca="1" si="11"/>
        <v>0</v>
      </c>
      <c r="R92" s="24">
        <f ca="1">IF(AND(P92=0,Q92=0),0,IFERROR(MAX(ROUNDUP(P92/INDEX(tblClusters[vCPU / noeud (deduit)],MATCH($B92,tblClusters[Cluster],0)),0),ROUNDUP(Q92/INDEX(tblClusters[RAM / noeud - Go (deduit)],MATCH($B92,tblClusters[Cluster],0)),0)),"Flavor a definir"))</f>
        <v>0</v>
      </c>
    </row>
    <row r="93" spans="1:18" x14ac:dyDescent="0.2">
      <c r="A93" s="38">
        <v>46508</v>
      </c>
      <c r="B93" s="21" t="s">
        <v>170</v>
      </c>
      <c r="C93" s="28" t="str">
        <f>IFERROR(INDEX(tblClusters[Utilisation],MATCH($B93,tblClusters[Cluster],0)),"")</f>
        <v>LATAM Hors-Prod</v>
      </c>
      <c r="D93" s="28" t="str">
        <f>IFERROR(INDEX(tblClusters[Type (deduit)],MATCH($B93,tblClusters[Cluster],0)),"")</f>
        <v>Dedie</v>
      </c>
      <c r="E93" s="24">
        <f>IFERROR(INDEX(tblClusters[CPU max (cores)],MATCH($B93,tblClusters[Cluster],0)),0)</f>
        <v>0</v>
      </c>
      <c r="F93" s="24">
        <f>IFERROR(INDEX(tblClusters[RAM max (Go)],MATCH($B93,tblClusters[Cluster],0)),0)</f>
        <v>0</v>
      </c>
      <c r="G93" s="24">
        <f>IFERROR(INDEX(tblClusters[Charge existante CPU hors migration],MATCH($B93,tblClusters[Cluster],0)),0)</f>
        <v>0</v>
      </c>
      <c r="H93" s="24">
        <f>IFERROR(INDEX(tblClusters[Charge existante RAM hors migration (Go)],MATCH($B93,tblClusters[Cluster],0)),0)</f>
        <v>0</v>
      </c>
      <c r="I93" s="24">
        <f ca="1">SUMIFS(tblApplications[CPU cible ROKS],tblApplications[Cluster ROKS cible (auto)],$B93,tblApplications[Mois de bascule prevu],"&lt;="&amp;EOMONTH($A93,0),tblApplications[Inclus projection O/N],"O")</f>
        <v>0</v>
      </c>
      <c r="J93" s="24">
        <f ca="1">SUMIFS(tblApplications[RAM cible ROKS],tblApplications[Cluster ROKS cible (auto)],$B93,tblApplications[Mois de bascule prevu],"&lt;="&amp;EOMONTH($A93,0),tblApplications[Inclus projection O/N],"O")</f>
        <v>0</v>
      </c>
      <c r="K93" s="25">
        <f t="shared" ca="1" si="6"/>
        <v>0</v>
      </c>
      <c r="L93" s="25">
        <f t="shared" ca="1" si="7"/>
        <v>0</v>
      </c>
      <c r="M93" s="26" t="str">
        <f t="shared" si="8"/>
        <v/>
      </c>
      <c r="N93" s="26" t="str">
        <f t="shared" si="9"/>
        <v/>
      </c>
      <c r="O93" s="22" t="str">
        <f ca="1">IF(E93=0,IF(K93&gt;0,"Cluster sans capacite provisionnee","n/a"),IF(OR(M93&gt;=Clusters_ROKS!$AC$5,N93&gt;=Clusters_ROKS!$AC$5),"Seuil depasse","OK"))</f>
        <v>n/a</v>
      </c>
      <c r="P93" s="25">
        <f t="shared" ca="1" si="10"/>
        <v>0</v>
      </c>
      <c r="Q93" s="25">
        <f t="shared" ca="1" si="11"/>
        <v>0</v>
      </c>
      <c r="R93" s="24">
        <f ca="1">IF(AND(P93=0,Q93=0),0,IFERROR(MAX(ROUNDUP(P93/INDEX(tblClusters[vCPU / noeud (deduit)],MATCH($B93,tblClusters[Cluster],0)),0),ROUNDUP(Q93/INDEX(tblClusters[RAM / noeud - Go (deduit)],MATCH($B93,tblClusters[Cluster],0)),0)),"Flavor a definir"))</f>
        <v>0</v>
      </c>
    </row>
    <row r="94" spans="1:18" x14ac:dyDescent="0.2">
      <c r="A94" s="38">
        <v>46539</v>
      </c>
      <c r="B94" s="21" t="s">
        <v>170</v>
      </c>
      <c r="C94" s="28" t="str">
        <f>IFERROR(INDEX(tblClusters[Utilisation],MATCH($B94,tblClusters[Cluster],0)),"")</f>
        <v>LATAM Hors-Prod</v>
      </c>
      <c r="D94" s="28" t="str">
        <f>IFERROR(INDEX(tblClusters[Type (deduit)],MATCH($B94,tblClusters[Cluster],0)),"")</f>
        <v>Dedie</v>
      </c>
      <c r="E94" s="24">
        <f>IFERROR(INDEX(tblClusters[CPU max (cores)],MATCH($B94,tblClusters[Cluster],0)),0)</f>
        <v>0</v>
      </c>
      <c r="F94" s="24">
        <f>IFERROR(INDEX(tblClusters[RAM max (Go)],MATCH($B94,tblClusters[Cluster],0)),0)</f>
        <v>0</v>
      </c>
      <c r="G94" s="24">
        <f>IFERROR(INDEX(tblClusters[Charge existante CPU hors migration],MATCH($B94,tblClusters[Cluster],0)),0)</f>
        <v>0</v>
      </c>
      <c r="H94" s="24">
        <f>IFERROR(INDEX(tblClusters[Charge existante RAM hors migration (Go)],MATCH($B94,tblClusters[Cluster],0)),0)</f>
        <v>0</v>
      </c>
      <c r="I94" s="24">
        <f ca="1">SUMIFS(tblApplications[CPU cible ROKS],tblApplications[Cluster ROKS cible (auto)],$B94,tblApplications[Mois de bascule prevu],"&lt;="&amp;EOMONTH($A94,0),tblApplications[Inclus projection O/N],"O")</f>
        <v>0</v>
      </c>
      <c r="J94" s="24">
        <f ca="1">SUMIFS(tblApplications[RAM cible ROKS],tblApplications[Cluster ROKS cible (auto)],$B94,tblApplications[Mois de bascule prevu],"&lt;="&amp;EOMONTH($A94,0),tblApplications[Inclus projection O/N],"O")</f>
        <v>0</v>
      </c>
      <c r="K94" s="25">
        <f t="shared" ca="1" si="6"/>
        <v>0</v>
      </c>
      <c r="L94" s="25">
        <f t="shared" ca="1" si="7"/>
        <v>0</v>
      </c>
      <c r="M94" s="26" t="str">
        <f t="shared" si="8"/>
        <v/>
      </c>
      <c r="N94" s="26" t="str">
        <f t="shared" si="9"/>
        <v/>
      </c>
      <c r="O94" s="22" t="str">
        <f ca="1">IF(E94=0,IF(K94&gt;0,"Cluster sans capacite provisionnee","n/a"),IF(OR(M94&gt;=Clusters_ROKS!$AC$5,N94&gt;=Clusters_ROKS!$AC$5),"Seuil depasse","OK"))</f>
        <v>n/a</v>
      </c>
      <c r="P94" s="25">
        <f t="shared" ca="1" si="10"/>
        <v>0</v>
      </c>
      <c r="Q94" s="25">
        <f t="shared" ca="1" si="11"/>
        <v>0</v>
      </c>
      <c r="R94" s="24">
        <f ca="1">IF(AND(P94=0,Q94=0),0,IFERROR(MAX(ROUNDUP(P94/INDEX(tblClusters[vCPU / noeud (deduit)],MATCH($B94,tblClusters[Cluster],0)),0),ROUNDUP(Q94/INDEX(tblClusters[RAM / noeud - Go (deduit)],MATCH($B94,tblClusters[Cluster],0)),0)),"Flavor a definir"))</f>
        <v>0</v>
      </c>
    </row>
    <row r="95" spans="1:18" x14ac:dyDescent="0.2">
      <c r="A95" s="38">
        <v>46569</v>
      </c>
      <c r="B95" s="21" t="s">
        <v>170</v>
      </c>
      <c r="C95" s="28" t="str">
        <f>IFERROR(INDEX(tblClusters[Utilisation],MATCH($B95,tblClusters[Cluster],0)),"")</f>
        <v>LATAM Hors-Prod</v>
      </c>
      <c r="D95" s="28" t="str">
        <f>IFERROR(INDEX(tblClusters[Type (deduit)],MATCH($B95,tblClusters[Cluster],0)),"")</f>
        <v>Dedie</v>
      </c>
      <c r="E95" s="24">
        <f>IFERROR(INDEX(tblClusters[CPU max (cores)],MATCH($B95,tblClusters[Cluster],0)),0)</f>
        <v>0</v>
      </c>
      <c r="F95" s="24">
        <f>IFERROR(INDEX(tblClusters[RAM max (Go)],MATCH($B95,tblClusters[Cluster],0)),0)</f>
        <v>0</v>
      </c>
      <c r="G95" s="24">
        <f>IFERROR(INDEX(tblClusters[Charge existante CPU hors migration],MATCH($B95,tblClusters[Cluster],0)),0)</f>
        <v>0</v>
      </c>
      <c r="H95" s="24">
        <f>IFERROR(INDEX(tblClusters[Charge existante RAM hors migration (Go)],MATCH($B95,tblClusters[Cluster],0)),0)</f>
        <v>0</v>
      </c>
      <c r="I95" s="24">
        <f ca="1">SUMIFS(tblApplications[CPU cible ROKS],tblApplications[Cluster ROKS cible (auto)],$B95,tblApplications[Mois de bascule prevu],"&lt;="&amp;EOMONTH($A95,0),tblApplications[Inclus projection O/N],"O")</f>
        <v>0</v>
      </c>
      <c r="J95" s="24">
        <f ca="1">SUMIFS(tblApplications[RAM cible ROKS],tblApplications[Cluster ROKS cible (auto)],$B95,tblApplications[Mois de bascule prevu],"&lt;="&amp;EOMONTH($A95,0),tblApplications[Inclus projection O/N],"O")</f>
        <v>0</v>
      </c>
      <c r="K95" s="25">
        <f t="shared" ca="1" si="6"/>
        <v>0</v>
      </c>
      <c r="L95" s="25">
        <f t="shared" ca="1" si="7"/>
        <v>0</v>
      </c>
      <c r="M95" s="26" t="str">
        <f t="shared" si="8"/>
        <v/>
      </c>
      <c r="N95" s="26" t="str">
        <f t="shared" si="9"/>
        <v/>
      </c>
      <c r="O95" s="22" t="str">
        <f ca="1">IF(E95=0,IF(K95&gt;0,"Cluster sans capacite provisionnee","n/a"),IF(OR(M95&gt;=Clusters_ROKS!$AC$5,N95&gt;=Clusters_ROKS!$AC$5),"Seuil depasse","OK"))</f>
        <v>n/a</v>
      </c>
      <c r="P95" s="25">
        <f t="shared" ca="1" si="10"/>
        <v>0</v>
      </c>
      <c r="Q95" s="25">
        <f t="shared" ca="1" si="11"/>
        <v>0</v>
      </c>
      <c r="R95" s="24">
        <f ca="1">IF(AND(P95=0,Q95=0),0,IFERROR(MAX(ROUNDUP(P95/INDEX(tblClusters[vCPU / noeud (deduit)],MATCH($B95,tblClusters[Cluster],0)),0),ROUNDUP(Q95/INDEX(tblClusters[RAM / noeud - Go (deduit)],MATCH($B95,tblClusters[Cluster],0)),0)),"Flavor a definir"))</f>
        <v>0</v>
      </c>
    </row>
    <row r="96" spans="1:18" x14ac:dyDescent="0.2">
      <c r="A96" s="38">
        <v>46600</v>
      </c>
      <c r="B96" s="21" t="s">
        <v>170</v>
      </c>
      <c r="C96" s="28" t="str">
        <f>IFERROR(INDEX(tblClusters[Utilisation],MATCH($B96,tblClusters[Cluster],0)),"")</f>
        <v>LATAM Hors-Prod</v>
      </c>
      <c r="D96" s="28" t="str">
        <f>IFERROR(INDEX(tblClusters[Type (deduit)],MATCH($B96,tblClusters[Cluster],0)),"")</f>
        <v>Dedie</v>
      </c>
      <c r="E96" s="24">
        <f>IFERROR(INDEX(tblClusters[CPU max (cores)],MATCH($B96,tblClusters[Cluster],0)),0)</f>
        <v>0</v>
      </c>
      <c r="F96" s="24">
        <f>IFERROR(INDEX(tblClusters[RAM max (Go)],MATCH($B96,tblClusters[Cluster],0)),0)</f>
        <v>0</v>
      </c>
      <c r="G96" s="24">
        <f>IFERROR(INDEX(tblClusters[Charge existante CPU hors migration],MATCH($B96,tblClusters[Cluster],0)),0)</f>
        <v>0</v>
      </c>
      <c r="H96" s="24">
        <f>IFERROR(INDEX(tblClusters[Charge existante RAM hors migration (Go)],MATCH($B96,tblClusters[Cluster],0)),0)</f>
        <v>0</v>
      </c>
      <c r="I96" s="24">
        <f ca="1">SUMIFS(tblApplications[CPU cible ROKS],tblApplications[Cluster ROKS cible (auto)],$B96,tblApplications[Mois de bascule prevu],"&lt;="&amp;EOMONTH($A96,0),tblApplications[Inclus projection O/N],"O")</f>
        <v>0</v>
      </c>
      <c r="J96" s="24">
        <f ca="1">SUMIFS(tblApplications[RAM cible ROKS],tblApplications[Cluster ROKS cible (auto)],$B96,tblApplications[Mois de bascule prevu],"&lt;="&amp;EOMONTH($A96,0),tblApplications[Inclus projection O/N],"O")</f>
        <v>0</v>
      </c>
      <c r="K96" s="25">
        <f t="shared" ca="1" si="6"/>
        <v>0</v>
      </c>
      <c r="L96" s="25">
        <f t="shared" ca="1" si="7"/>
        <v>0</v>
      </c>
      <c r="M96" s="26" t="str">
        <f t="shared" si="8"/>
        <v/>
      </c>
      <c r="N96" s="26" t="str">
        <f t="shared" si="9"/>
        <v/>
      </c>
      <c r="O96" s="22" t="str">
        <f ca="1">IF(E96=0,IF(K96&gt;0,"Cluster sans capacite provisionnee","n/a"),IF(OR(M96&gt;=Clusters_ROKS!$AC$5,N96&gt;=Clusters_ROKS!$AC$5),"Seuil depasse","OK"))</f>
        <v>n/a</v>
      </c>
      <c r="P96" s="25">
        <f t="shared" ca="1" si="10"/>
        <v>0</v>
      </c>
      <c r="Q96" s="25">
        <f t="shared" ca="1" si="11"/>
        <v>0</v>
      </c>
      <c r="R96" s="24">
        <f ca="1">IF(AND(P96=0,Q96=0),0,IFERROR(MAX(ROUNDUP(P96/INDEX(tblClusters[vCPU / noeud (deduit)],MATCH($B96,tblClusters[Cluster],0)),0),ROUNDUP(Q96/INDEX(tblClusters[RAM / noeud - Go (deduit)],MATCH($B96,tblClusters[Cluster],0)),0)),"Flavor a definir"))</f>
        <v>0</v>
      </c>
    </row>
    <row r="97" spans="1:18" x14ac:dyDescent="0.2">
      <c r="A97" s="38">
        <v>46631</v>
      </c>
      <c r="B97" s="21" t="s">
        <v>170</v>
      </c>
      <c r="C97" s="28" t="str">
        <f>IFERROR(INDEX(tblClusters[Utilisation],MATCH($B97,tblClusters[Cluster],0)),"")</f>
        <v>LATAM Hors-Prod</v>
      </c>
      <c r="D97" s="28" t="str">
        <f>IFERROR(INDEX(tblClusters[Type (deduit)],MATCH($B97,tblClusters[Cluster],0)),"")</f>
        <v>Dedie</v>
      </c>
      <c r="E97" s="24">
        <f>IFERROR(INDEX(tblClusters[CPU max (cores)],MATCH($B97,tblClusters[Cluster],0)),0)</f>
        <v>0</v>
      </c>
      <c r="F97" s="24">
        <f>IFERROR(INDEX(tblClusters[RAM max (Go)],MATCH($B97,tblClusters[Cluster],0)),0)</f>
        <v>0</v>
      </c>
      <c r="G97" s="24">
        <f>IFERROR(INDEX(tblClusters[Charge existante CPU hors migration],MATCH($B97,tblClusters[Cluster],0)),0)</f>
        <v>0</v>
      </c>
      <c r="H97" s="24">
        <f>IFERROR(INDEX(tblClusters[Charge existante RAM hors migration (Go)],MATCH($B97,tblClusters[Cluster],0)),0)</f>
        <v>0</v>
      </c>
      <c r="I97" s="24">
        <f ca="1">SUMIFS(tblApplications[CPU cible ROKS],tblApplications[Cluster ROKS cible (auto)],$B97,tblApplications[Mois de bascule prevu],"&lt;="&amp;EOMONTH($A97,0),tblApplications[Inclus projection O/N],"O")</f>
        <v>0</v>
      </c>
      <c r="J97" s="24">
        <f ca="1">SUMIFS(tblApplications[RAM cible ROKS],tblApplications[Cluster ROKS cible (auto)],$B97,tblApplications[Mois de bascule prevu],"&lt;="&amp;EOMONTH($A97,0),tblApplications[Inclus projection O/N],"O")</f>
        <v>0</v>
      </c>
      <c r="K97" s="25">
        <f t="shared" ca="1" si="6"/>
        <v>0</v>
      </c>
      <c r="L97" s="25">
        <f t="shared" ca="1" si="7"/>
        <v>0</v>
      </c>
      <c r="M97" s="26" t="str">
        <f t="shared" si="8"/>
        <v/>
      </c>
      <c r="N97" s="26" t="str">
        <f t="shared" si="9"/>
        <v/>
      </c>
      <c r="O97" s="22" t="str">
        <f ca="1">IF(E97=0,IF(K97&gt;0,"Cluster sans capacite provisionnee","n/a"),IF(OR(M97&gt;=Clusters_ROKS!$AC$5,N97&gt;=Clusters_ROKS!$AC$5),"Seuil depasse","OK"))</f>
        <v>n/a</v>
      </c>
      <c r="P97" s="25">
        <f t="shared" ca="1" si="10"/>
        <v>0</v>
      </c>
      <c r="Q97" s="25">
        <f t="shared" ca="1" si="11"/>
        <v>0</v>
      </c>
      <c r="R97" s="24">
        <f ca="1">IF(AND(P97=0,Q97=0),0,IFERROR(MAX(ROUNDUP(P97/INDEX(tblClusters[vCPU / noeud (deduit)],MATCH($B97,tblClusters[Cluster],0)),0),ROUNDUP(Q97/INDEX(tblClusters[RAM / noeud - Go (deduit)],MATCH($B97,tblClusters[Cluster],0)),0)),"Flavor a definir"))</f>
        <v>0</v>
      </c>
    </row>
    <row r="98" spans="1:18" x14ac:dyDescent="0.2">
      <c r="A98" s="38">
        <v>46661</v>
      </c>
      <c r="B98" s="21" t="s">
        <v>170</v>
      </c>
      <c r="C98" s="28" t="str">
        <f>IFERROR(INDEX(tblClusters[Utilisation],MATCH($B98,tblClusters[Cluster],0)),"")</f>
        <v>LATAM Hors-Prod</v>
      </c>
      <c r="D98" s="28" t="str">
        <f>IFERROR(INDEX(tblClusters[Type (deduit)],MATCH($B98,tblClusters[Cluster],0)),"")</f>
        <v>Dedie</v>
      </c>
      <c r="E98" s="24">
        <f>IFERROR(INDEX(tblClusters[CPU max (cores)],MATCH($B98,tblClusters[Cluster],0)),0)</f>
        <v>0</v>
      </c>
      <c r="F98" s="24">
        <f>IFERROR(INDEX(tblClusters[RAM max (Go)],MATCH($B98,tblClusters[Cluster],0)),0)</f>
        <v>0</v>
      </c>
      <c r="G98" s="24">
        <f>IFERROR(INDEX(tblClusters[Charge existante CPU hors migration],MATCH($B98,tblClusters[Cluster],0)),0)</f>
        <v>0</v>
      </c>
      <c r="H98" s="24">
        <f>IFERROR(INDEX(tblClusters[Charge existante RAM hors migration (Go)],MATCH($B98,tblClusters[Cluster],0)),0)</f>
        <v>0</v>
      </c>
      <c r="I98" s="24">
        <f ca="1">SUMIFS(tblApplications[CPU cible ROKS],tblApplications[Cluster ROKS cible (auto)],$B98,tblApplications[Mois de bascule prevu],"&lt;="&amp;EOMONTH($A98,0),tblApplications[Inclus projection O/N],"O")</f>
        <v>0</v>
      </c>
      <c r="J98" s="24">
        <f ca="1">SUMIFS(tblApplications[RAM cible ROKS],tblApplications[Cluster ROKS cible (auto)],$B98,tblApplications[Mois de bascule prevu],"&lt;="&amp;EOMONTH($A98,0),tblApplications[Inclus projection O/N],"O")</f>
        <v>0</v>
      </c>
      <c r="K98" s="25">
        <f t="shared" ca="1" si="6"/>
        <v>0</v>
      </c>
      <c r="L98" s="25">
        <f t="shared" ca="1" si="7"/>
        <v>0</v>
      </c>
      <c r="M98" s="26" t="str">
        <f t="shared" si="8"/>
        <v/>
      </c>
      <c r="N98" s="26" t="str">
        <f t="shared" si="9"/>
        <v/>
      </c>
      <c r="O98" s="22" t="str">
        <f ca="1">IF(E98=0,IF(K98&gt;0,"Cluster sans capacite provisionnee","n/a"),IF(OR(M98&gt;=Clusters_ROKS!$AC$5,N98&gt;=Clusters_ROKS!$AC$5),"Seuil depasse","OK"))</f>
        <v>n/a</v>
      </c>
      <c r="P98" s="25">
        <f t="shared" ca="1" si="10"/>
        <v>0</v>
      </c>
      <c r="Q98" s="25">
        <f t="shared" ca="1" si="11"/>
        <v>0</v>
      </c>
      <c r="R98" s="24">
        <f ca="1">IF(AND(P98=0,Q98=0),0,IFERROR(MAX(ROUNDUP(P98/INDEX(tblClusters[vCPU / noeud (deduit)],MATCH($B98,tblClusters[Cluster],0)),0),ROUNDUP(Q98/INDEX(tblClusters[RAM / noeud - Go (deduit)],MATCH($B98,tblClusters[Cluster],0)),0)),"Flavor a definir"))</f>
        <v>0</v>
      </c>
    </row>
    <row r="99" spans="1:18" x14ac:dyDescent="0.2">
      <c r="A99" s="38">
        <v>46692</v>
      </c>
      <c r="B99" s="21" t="s">
        <v>170</v>
      </c>
      <c r="C99" s="28" t="str">
        <f>IFERROR(INDEX(tblClusters[Utilisation],MATCH($B99,tblClusters[Cluster],0)),"")</f>
        <v>LATAM Hors-Prod</v>
      </c>
      <c r="D99" s="28" t="str">
        <f>IFERROR(INDEX(tblClusters[Type (deduit)],MATCH($B99,tblClusters[Cluster],0)),"")</f>
        <v>Dedie</v>
      </c>
      <c r="E99" s="24">
        <f>IFERROR(INDEX(tblClusters[CPU max (cores)],MATCH($B99,tblClusters[Cluster],0)),0)</f>
        <v>0</v>
      </c>
      <c r="F99" s="24">
        <f>IFERROR(INDEX(tblClusters[RAM max (Go)],MATCH($B99,tblClusters[Cluster],0)),0)</f>
        <v>0</v>
      </c>
      <c r="G99" s="24">
        <f>IFERROR(INDEX(tblClusters[Charge existante CPU hors migration],MATCH($B99,tblClusters[Cluster],0)),0)</f>
        <v>0</v>
      </c>
      <c r="H99" s="24">
        <f>IFERROR(INDEX(tblClusters[Charge existante RAM hors migration (Go)],MATCH($B99,tblClusters[Cluster],0)),0)</f>
        <v>0</v>
      </c>
      <c r="I99" s="24">
        <f ca="1">SUMIFS(tblApplications[CPU cible ROKS],tblApplications[Cluster ROKS cible (auto)],$B99,tblApplications[Mois de bascule prevu],"&lt;="&amp;EOMONTH($A99,0),tblApplications[Inclus projection O/N],"O")</f>
        <v>0</v>
      </c>
      <c r="J99" s="24">
        <f ca="1">SUMIFS(tblApplications[RAM cible ROKS],tblApplications[Cluster ROKS cible (auto)],$B99,tblApplications[Mois de bascule prevu],"&lt;="&amp;EOMONTH($A99,0),tblApplications[Inclus projection O/N],"O")</f>
        <v>0</v>
      </c>
      <c r="K99" s="25">
        <f t="shared" ca="1" si="6"/>
        <v>0</v>
      </c>
      <c r="L99" s="25">
        <f t="shared" ca="1" si="7"/>
        <v>0</v>
      </c>
      <c r="M99" s="26" t="str">
        <f t="shared" si="8"/>
        <v/>
      </c>
      <c r="N99" s="26" t="str">
        <f t="shared" si="9"/>
        <v/>
      </c>
      <c r="O99" s="22" t="str">
        <f ca="1">IF(E99=0,IF(K99&gt;0,"Cluster sans capacite provisionnee","n/a"),IF(OR(M99&gt;=Clusters_ROKS!$AC$5,N99&gt;=Clusters_ROKS!$AC$5),"Seuil depasse","OK"))</f>
        <v>n/a</v>
      </c>
      <c r="P99" s="25">
        <f t="shared" ca="1" si="10"/>
        <v>0</v>
      </c>
      <c r="Q99" s="25">
        <f t="shared" ca="1" si="11"/>
        <v>0</v>
      </c>
      <c r="R99" s="24">
        <f ca="1">IF(AND(P99=0,Q99=0),0,IFERROR(MAX(ROUNDUP(P99/INDEX(tblClusters[vCPU / noeud (deduit)],MATCH($B99,tblClusters[Cluster],0)),0),ROUNDUP(Q99/INDEX(tblClusters[RAM / noeud - Go (deduit)],MATCH($B99,tblClusters[Cluster],0)),0)),"Flavor a definir"))</f>
        <v>0</v>
      </c>
    </row>
    <row r="100" spans="1:18" x14ac:dyDescent="0.2">
      <c r="A100" s="38">
        <v>46722</v>
      </c>
      <c r="B100" s="21" t="s">
        <v>170</v>
      </c>
      <c r="C100" s="28" t="str">
        <f>IFERROR(INDEX(tblClusters[Utilisation],MATCH($B100,tblClusters[Cluster],0)),"")</f>
        <v>LATAM Hors-Prod</v>
      </c>
      <c r="D100" s="28" t="str">
        <f>IFERROR(INDEX(tblClusters[Type (deduit)],MATCH($B100,tblClusters[Cluster],0)),"")</f>
        <v>Dedie</v>
      </c>
      <c r="E100" s="24">
        <f>IFERROR(INDEX(tblClusters[CPU max (cores)],MATCH($B100,tblClusters[Cluster],0)),0)</f>
        <v>0</v>
      </c>
      <c r="F100" s="24">
        <f>IFERROR(INDEX(tblClusters[RAM max (Go)],MATCH($B100,tblClusters[Cluster],0)),0)</f>
        <v>0</v>
      </c>
      <c r="G100" s="24">
        <f>IFERROR(INDEX(tblClusters[Charge existante CPU hors migration],MATCH($B100,tblClusters[Cluster],0)),0)</f>
        <v>0</v>
      </c>
      <c r="H100" s="24">
        <f>IFERROR(INDEX(tblClusters[Charge existante RAM hors migration (Go)],MATCH($B100,tblClusters[Cluster],0)),0)</f>
        <v>0</v>
      </c>
      <c r="I100" s="24">
        <f ca="1">SUMIFS(tblApplications[CPU cible ROKS],tblApplications[Cluster ROKS cible (auto)],$B100,tblApplications[Mois de bascule prevu],"&lt;="&amp;EOMONTH($A100,0),tblApplications[Inclus projection O/N],"O")</f>
        <v>0</v>
      </c>
      <c r="J100" s="24">
        <f ca="1">SUMIFS(tblApplications[RAM cible ROKS],tblApplications[Cluster ROKS cible (auto)],$B100,tblApplications[Mois de bascule prevu],"&lt;="&amp;EOMONTH($A100,0),tblApplications[Inclus projection O/N],"O")</f>
        <v>0</v>
      </c>
      <c r="K100" s="25">
        <f t="shared" ca="1" si="6"/>
        <v>0</v>
      </c>
      <c r="L100" s="25">
        <f t="shared" ca="1" si="7"/>
        <v>0</v>
      </c>
      <c r="M100" s="26" t="str">
        <f t="shared" si="8"/>
        <v/>
      </c>
      <c r="N100" s="26" t="str">
        <f t="shared" si="9"/>
        <v/>
      </c>
      <c r="O100" s="22" t="str">
        <f ca="1">IF(E100=0,IF(K100&gt;0,"Cluster sans capacite provisionnee","n/a"),IF(OR(M100&gt;=Clusters_ROKS!$AC$5,N100&gt;=Clusters_ROKS!$AC$5),"Seuil depasse","OK"))</f>
        <v>n/a</v>
      </c>
      <c r="P100" s="25">
        <f t="shared" ca="1" si="10"/>
        <v>0</v>
      </c>
      <c r="Q100" s="25">
        <f t="shared" ca="1" si="11"/>
        <v>0</v>
      </c>
      <c r="R100" s="24">
        <f ca="1">IF(AND(P100=0,Q100=0),0,IFERROR(MAX(ROUNDUP(P100/INDEX(tblClusters[vCPU / noeud (deduit)],MATCH($B100,tblClusters[Cluster],0)),0),ROUNDUP(Q100/INDEX(tblClusters[RAM / noeud - Go (deduit)],MATCH($B100,tblClusters[Cluster],0)),0)),"Flavor a definir"))</f>
        <v>0</v>
      </c>
    </row>
    <row r="101" spans="1:18" x14ac:dyDescent="0.2">
      <c r="A101" s="38">
        <v>46388</v>
      </c>
      <c r="B101" s="21" t="s">
        <v>171</v>
      </c>
      <c r="C101" s="28" t="str">
        <f>IFERROR(INDEX(tblClusters[Utilisation],MATCH($B101,tblClusters[Cluster],0)),"")</f>
        <v>LATAM SECRET PROD</v>
      </c>
      <c r="D101" s="28" t="str">
        <f>IFERROR(INDEX(tblClusters[Type (deduit)],MATCH($B101,tblClusters[Cluster],0)),"")</f>
        <v>Dedie</v>
      </c>
      <c r="E101" s="24">
        <f>IFERROR(INDEX(tblClusters[CPU max (cores)],MATCH($B101,tblClusters[Cluster],0)),0)</f>
        <v>0</v>
      </c>
      <c r="F101" s="24">
        <f>IFERROR(INDEX(tblClusters[RAM max (Go)],MATCH($B101,tblClusters[Cluster],0)),0)</f>
        <v>0</v>
      </c>
      <c r="G101" s="24">
        <f>IFERROR(INDEX(tblClusters[Charge existante CPU hors migration],MATCH($B101,tblClusters[Cluster],0)),0)</f>
        <v>0</v>
      </c>
      <c r="H101" s="24">
        <f>IFERROR(INDEX(tblClusters[Charge existante RAM hors migration (Go)],MATCH($B101,tblClusters[Cluster],0)),0)</f>
        <v>0</v>
      </c>
      <c r="I101" s="24">
        <f ca="1">SUMIFS(tblApplications[CPU cible ROKS],tblApplications[Cluster ROKS cible (auto)],$B101,tblApplications[Mois de bascule prevu],"&lt;="&amp;EOMONTH($A101,0),tblApplications[Inclus projection O/N],"O")</f>
        <v>0</v>
      </c>
      <c r="J101" s="24">
        <f ca="1">SUMIFS(tblApplications[RAM cible ROKS],tblApplications[Cluster ROKS cible (auto)],$B101,tblApplications[Mois de bascule prevu],"&lt;="&amp;EOMONTH($A101,0),tblApplications[Inclus projection O/N],"O")</f>
        <v>0</v>
      </c>
      <c r="K101" s="25">
        <f t="shared" ca="1" si="6"/>
        <v>0</v>
      </c>
      <c r="L101" s="25">
        <f t="shared" ca="1" si="7"/>
        <v>0</v>
      </c>
      <c r="M101" s="26" t="str">
        <f t="shared" si="8"/>
        <v/>
      </c>
      <c r="N101" s="26" t="str">
        <f t="shared" si="9"/>
        <v/>
      </c>
      <c r="O101" s="22" t="str">
        <f ca="1">IF(E101=0,IF(K101&gt;0,"Cluster sans capacite provisionnee","n/a"),IF(OR(M101&gt;=Clusters_ROKS!$AC$5,N101&gt;=Clusters_ROKS!$AC$5),"Seuil depasse","OK"))</f>
        <v>n/a</v>
      </c>
      <c r="P101" s="25">
        <f t="shared" ca="1" si="10"/>
        <v>0</v>
      </c>
      <c r="Q101" s="25">
        <f t="shared" ca="1" si="11"/>
        <v>0</v>
      </c>
      <c r="R101" s="24">
        <f ca="1">IF(AND(P101=0,Q101=0),0,IFERROR(MAX(ROUNDUP(P101/INDEX(tblClusters[vCPU / noeud (deduit)],MATCH($B101,tblClusters[Cluster],0)),0),ROUNDUP(Q101/INDEX(tblClusters[RAM / noeud - Go (deduit)],MATCH($B101,tblClusters[Cluster],0)),0)),"Flavor a definir"))</f>
        <v>0</v>
      </c>
    </row>
    <row r="102" spans="1:18" x14ac:dyDescent="0.2">
      <c r="A102" s="38">
        <v>46419</v>
      </c>
      <c r="B102" s="21" t="s">
        <v>171</v>
      </c>
      <c r="C102" s="28" t="str">
        <f>IFERROR(INDEX(tblClusters[Utilisation],MATCH($B102,tblClusters[Cluster],0)),"")</f>
        <v>LATAM SECRET PROD</v>
      </c>
      <c r="D102" s="28" t="str">
        <f>IFERROR(INDEX(tblClusters[Type (deduit)],MATCH($B102,tblClusters[Cluster],0)),"")</f>
        <v>Dedie</v>
      </c>
      <c r="E102" s="24">
        <f>IFERROR(INDEX(tblClusters[CPU max (cores)],MATCH($B102,tblClusters[Cluster],0)),0)</f>
        <v>0</v>
      </c>
      <c r="F102" s="24">
        <f>IFERROR(INDEX(tblClusters[RAM max (Go)],MATCH($B102,tblClusters[Cluster],0)),0)</f>
        <v>0</v>
      </c>
      <c r="G102" s="24">
        <f>IFERROR(INDEX(tblClusters[Charge existante CPU hors migration],MATCH($B102,tblClusters[Cluster],0)),0)</f>
        <v>0</v>
      </c>
      <c r="H102" s="24">
        <f>IFERROR(INDEX(tblClusters[Charge existante RAM hors migration (Go)],MATCH($B102,tblClusters[Cluster],0)),0)</f>
        <v>0</v>
      </c>
      <c r="I102" s="24">
        <f ca="1">SUMIFS(tblApplications[CPU cible ROKS],tblApplications[Cluster ROKS cible (auto)],$B102,tblApplications[Mois de bascule prevu],"&lt;="&amp;EOMONTH($A102,0),tblApplications[Inclus projection O/N],"O")</f>
        <v>0</v>
      </c>
      <c r="J102" s="24">
        <f ca="1">SUMIFS(tblApplications[RAM cible ROKS],tblApplications[Cluster ROKS cible (auto)],$B102,tblApplications[Mois de bascule prevu],"&lt;="&amp;EOMONTH($A102,0),tblApplications[Inclus projection O/N],"O")</f>
        <v>0</v>
      </c>
      <c r="K102" s="25">
        <f t="shared" ca="1" si="6"/>
        <v>0</v>
      </c>
      <c r="L102" s="25">
        <f t="shared" ca="1" si="7"/>
        <v>0</v>
      </c>
      <c r="M102" s="26" t="str">
        <f t="shared" si="8"/>
        <v/>
      </c>
      <c r="N102" s="26" t="str">
        <f t="shared" si="9"/>
        <v/>
      </c>
      <c r="O102" s="22" t="str">
        <f ca="1">IF(E102=0,IF(K102&gt;0,"Cluster sans capacite provisionnee","n/a"),IF(OR(M102&gt;=Clusters_ROKS!$AC$5,N102&gt;=Clusters_ROKS!$AC$5),"Seuil depasse","OK"))</f>
        <v>n/a</v>
      </c>
      <c r="P102" s="25">
        <f t="shared" ca="1" si="10"/>
        <v>0</v>
      </c>
      <c r="Q102" s="25">
        <f t="shared" ca="1" si="11"/>
        <v>0</v>
      </c>
      <c r="R102" s="24">
        <f ca="1">IF(AND(P102=0,Q102=0),0,IFERROR(MAX(ROUNDUP(P102/INDEX(tblClusters[vCPU / noeud (deduit)],MATCH($B102,tblClusters[Cluster],0)),0),ROUNDUP(Q102/INDEX(tblClusters[RAM / noeud - Go (deduit)],MATCH($B102,tblClusters[Cluster],0)),0)),"Flavor a definir"))</f>
        <v>0</v>
      </c>
    </row>
    <row r="103" spans="1:18" x14ac:dyDescent="0.2">
      <c r="A103" s="38">
        <v>46447</v>
      </c>
      <c r="B103" s="21" t="s">
        <v>171</v>
      </c>
      <c r="C103" s="28" t="str">
        <f>IFERROR(INDEX(tblClusters[Utilisation],MATCH($B103,tblClusters[Cluster],0)),"")</f>
        <v>LATAM SECRET PROD</v>
      </c>
      <c r="D103" s="28" t="str">
        <f>IFERROR(INDEX(tblClusters[Type (deduit)],MATCH($B103,tblClusters[Cluster],0)),"")</f>
        <v>Dedie</v>
      </c>
      <c r="E103" s="24">
        <f>IFERROR(INDEX(tblClusters[CPU max (cores)],MATCH($B103,tblClusters[Cluster],0)),0)</f>
        <v>0</v>
      </c>
      <c r="F103" s="24">
        <f>IFERROR(INDEX(tblClusters[RAM max (Go)],MATCH($B103,tblClusters[Cluster],0)),0)</f>
        <v>0</v>
      </c>
      <c r="G103" s="24">
        <f>IFERROR(INDEX(tblClusters[Charge existante CPU hors migration],MATCH($B103,tblClusters[Cluster],0)),0)</f>
        <v>0</v>
      </c>
      <c r="H103" s="24">
        <f>IFERROR(INDEX(tblClusters[Charge existante RAM hors migration (Go)],MATCH($B103,tblClusters[Cluster],0)),0)</f>
        <v>0</v>
      </c>
      <c r="I103" s="24">
        <f ca="1">SUMIFS(tblApplications[CPU cible ROKS],tblApplications[Cluster ROKS cible (auto)],$B103,tblApplications[Mois de bascule prevu],"&lt;="&amp;EOMONTH($A103,0),tblApplications[Inclus projection O/N],"O")</f>
        <v>0</v>
      </c>
      <c r="J103" s="24">
        <f ca="1">SUMIFS(tblApplications[RAM cible ROKS],tblApplications[Cluster ROKS cible (auto)],$B103,tblApplications[Mois de bascule prevu],"&lt;="&amp;EOMONTH($A103,0),tblApplications[Inclus projection O/N],"O")</f>
        <v>0</v>
      </c>
      <c r="K103" s="25">
        <f t="shared" ca="1" si="6"/>
        <v>0</v>
      </c>
      <c r="L103" s="25">
        <f t="shared" ca="1" si="7"/>
        <v>0</v>
      </c>
      <c r="M103" s="26" t="str">
        <f t="shared" si="8"/>
        <v/>
      </c>
      <c r="N103" s="26" t="str">
        <f t="shared" si="9"/>
        <v/>
      </c>
      <c r="O103" s="22" t="str">
        <f ca="1">IF(E103=0,IF(K103&gt;0,"Cluster sans capacite provisionnee","n/a"),IF(OR(M103&gt;=Clusters_ROKS!$AC$5,N103&gt;=Clusters_ROKS!$AC$5),"Seuil depasse","OK"))</f>
        <v>n/a</v>
      </c>
      <c r="P103" s="25">
        <f t="shared" ca="1" si="10"/>
        <v>0</v>
      </c>
      <c r="Q103" s="25">
        <f t="shared" ca="1" si="11"/>
        <v>0</v>
      </c>
      <c r="R103" s="24">
        <f ca="1">IF(AND(P103=0,Q103=0),0,IFERROR(MAX(ROUNDUP(P103/INDEX(tblClusters[vCPU / noeud (deduit)],MATCH($B103,tblClusters[Cluster],0)),0),ROUNDUP(Q103/INDEX(tblClusters[RAM / noeud - Go (deduit)],MATCH($B103,tblClusters[Cluster],0)),0)),"Flavor a definir"))</f>
        <v>0</v>
      </c>
    </row>
    <row r="104" spans="1:18" x14ac:dyDescent="0.2">
      <c r="A104" s="38">
        <v>46478</v>
      </c>
      <c r="B104" s="21" t="s">
        <v>171</v>
      </c>
      <c r="C104" s="28" t="str">
        <f>IFERROR(INDEX(tblClusters[Utilisation],MATCH($B104,tblClusters[Cluster],0)),"")</f>
        <v>LATAM SECRET PROD</v>
      </c>
      <c r="D104" s="28" t="str">
        <f>IFERROR(INDEX(tblClusters[Type (deduit)],MATCH($B104,tblClusters[Cluster],0)),"")</f>
        <v>Dedie</v>
      </c>
      <c r="E104" s="24">
        <f>IFERROR(INDEX(tblClusters[CPU max (cores)],MATCH($B104,tblClusters[Cluster],0)),0)</f>
        <v>0</v>
      </c>
      <c r="F104" s="24">
        <f>IFERROR(INDEX(tblClusters[RAM max (Go)],MATCH($B104,tblClusters[Cluster],0)),0)</f>
        <v>0</v>
      </c>
      <c r="G104" s="24">
        <f>IFERROR(INDEX(tblClusters[Charge existante CPU hors migration],MATCH($B104,tblClusters[Cluster],0)),0)</f>
        <v>0</v>
      </c>
      <c r="H104" s="24">
        <f>IFERROR(INDEX(tblClusters[Charge existante RAM hors migration (Go)],MATCH($B104,tblClusters[Cluster],0)),0)</f>
        <v>0</v>
      </c>
      <c r="I104" s="24">
        <f ca="1">SUMIFS(tblApplications[CPU cible ROKS],tblApplications[Cluster ROKS cible (auto)],$B104,tblApplications[Mois de bascule prevu],"&lt;="&amp;EOMONTH($A104,0),tblApplications[Inclus projection O/N],"O")</f>
        <v>0</v>
      </c>
      <c r="J104" s="24">
        <f ca="1">SUMIFS(tblApplications[RAM cible ROKS],tblApplications[Cluster ROKS cible (auto)],$B104,tblApplications[Mois de bascule prevu],"&lt;="&amp;EOMONTH($A104,0),tblApplications[Inclus projection O/N],"O")</f>
        <v>0</v>
      </c>
      <c r="K104" s="25">
        <f t="shared" ca="1" si="6"/>
        <v>0</v>
      </c>
      <c r="L104" s="25">
        <f t="shared" ca="1" si="7"/>
        <v>0</v>
      </c>
      <c r="M104" s="26" t="str">
        <f t="shared" si="8"/>
        <v/>
      </c>
      <c r="N104" s="26" t="str">
        <f t="shared" si="9"/>
        <v/>
      </c>
      <c r="O104" s="22" t="str">
        <f ca="1">IF(E104=0,IF(K104&gt;0,"Cluster sans capacite provisionnee","n/a"),IF(OR(M104&gt;=Clusters_ROKS!$AC$5,N104&gt;=Clusters_ROKS!$AC$5),"Seuil depasse","OK"))</f>
        <v>n/a</v>
      </c>
      <c r="P104" s="25">
        <f t="shared" ca="1" si="10"/>
        <v>0</v>
      </c>
      <c r="Q104" s="25">
        <f t="shared" ca="1" si="11"/>
        <v>0</v>
      </c>
      <c r="R104" s="24">
        <f ca="1">IF(AND(P104=0,Q104=0),0,IFERROR(MAX(ROUNDUP(P104/INDEX(tblClusters[vCPU / noeud (deduit)],MATCH($B104,tblClusters[Cluster],0)),0),ROUNDUP(Q104/INDEX(tblClusters[RAM / noeud - Go (deduit)],MATCH($B104,tblClusters[Cluster],0)),0)),"Flavor a definir"))</f>
        <v>0</v>
      </c>
    </row>
    <row r="105" spans="1:18" x14ac:dyDescent="0.2">
      <c r="A105" s="38">
        <v>46508</v>
      </c>
      <c r="B105" s="21" t="s">
        <v>171</v>
      </c>
      <c r="C105" s="28" t="str">
        <f>IFERROR(INDEX(tblClusters[Utilisation],MATCH($B105,tblClusters[Cluster],0)),"")</f>
        <v>LATAM SECRET PROD</v>
      </c>
      <c r="D105" s="28" t="str">
        <f>IFERROR(INDEX(tblClusters[Type (deduit)],MATCH($B105,tblClusters[Cluster],0)),"")</f>
        <v>Dedie</v>
      </c>
      <c r="E105" s="24">
        <f>IFERROR(INDEX(tblClusters[CPU max (cores)],MATCH($B105,tblClusters[Cluster],0)),0)</f>
        <v>0</v>
      </c>
      <c r="F105" s="24">
        <f>IFERROR(INDEX(tblClusters[RAM max (Go)],MATCH($B105,tblClusters[Cluster],0)),0)</f>
        <v>0</v>
      </c>
      <c r="G105" s="24">
        <f>IFERROR(INDEX(tblClusters[Charge existante CPU hors migration],MATCH($B105,tblClusters[Cluster],0)),0)</f>
        <v>0</v>
      </c>
      <c r="H105" s="24">
        <f>IFERROR(INDEX(tblClusters[Charge existante RAM hors migration (Go)],MATCH($B105,tblClusters[Cluster],0)),0)</f>
        <v>0</v>
      </c>
      <c r="I105" s="24">
        <f ca="1">SUMIFS(tblApplications[CPU cible ROKS],tblApplications[Cluster ROKS cible (auto)],$B105,tblApplications[Mois de bascule prevu],"&lt;="&amp;EOMONTH($A105,0),tblApplications[Inclus projection O/N],"O")</f>
        <v>0</v>
      </c>
      <c r="J105" s="24">
        <f ca="1">SUMIFS(tblApplications[RAM cible ROKS],tblApplications[Cluster ROKS cible (auto)],$B105,tblApplications[Mois de bascule prevu],"&lt;="&amp;EOMONTH($A105,0),tblApplications[Inclus projection O/N],"O")</f>
        <v>0</v>
      </c>
      <c r="K105" s="25">
        <f t="shared" ca="1" si="6"/>
        <v>0</v>
      </c>
      <c r="L105" s="25">
        <f t="shared" ca="1" si="7"/>
        <v>0</v>
      </c>
      <c r="M105" s="26" t="str">
        <f t="shared" si="8"/>
        <v/>
      </c>
      <c r="N105" s="26" t="str">
        <f t="shared" si="9"/>
        <v/>
      </c>
      <c r="O105" s="22" t="str">
        <f ca="1">IF(E105=0,IF(K105&gt;0,"Cluster sans capacite provisionnee","n/a"),IF(OR(M105&gt;=Clusters_ROKS!$AC$5,N105&gt;=Clusters_ROKS!$AC$5),"Seuil depasse","OK"))</f>
        <v>n/a</v>
      </c>
      <c r="P105" s="25">
        <f t="shared" ca="1" si="10"/>
        <v>0</v>
      </c>
      <c r="Q105" s="25">
        <f t="shared" ca="1" si="11"/>
        <v>0</v>
      </c>
      <c r="R105" s="24">
        <f ca="1">IF(AND(P105=0,Q105=0),0,IFERROR(MAX(ROUNDUP(P105/INDEX(tblClusters[vCPU / noeud (deduit)],MATCH($B105,tblClusters[Cluster],0)),0),ROUNDUP(Q105/INDEX(tblClusters[RAM / noeud - Go (deduit)],MATCH($B105,tblClusters[Cluster],0)),0)),"Flavor a definir"))</f>
        <v>0</v>
      </c>
    </row>
    <row r="106" spans="1:18" x14ac:dyDescent="0.2">
      <c r="A106" s="38">
        <v>46539</v>
      </c>
      <c r="B106" s="21" t="s">
        <v>171</v>
      </c>
      <c r="C106" s="28" t="str">
        <f>IFERROR(INDEX(tblClusters[Utilisation],MATCH($B106,tblClusters[Cluster],0)),"")</f>
        <v>LATAM SECRET PROD</v>
      </c>
      <c r="D106" s="28" t="str">
        <f>IFERROR(INDEX(tblClusters[Type (deduit)],MATCH($B106,tblClusters[Cluster],0)),"")</f>
        <v>Dedie</v>
      </c>
      <c r="E106" s="24">
        <f>IFERROR(INDEX(tblClusters[CPU max (cores)],MATCH($B106,tblClusters[Cluster],0)),0)</f>
        <v>0</v>
      </c>
      <c r="F106" s="24">
        <f>IFERROR(INDEX(tblClusters[RAM max (Go)],MATCH($B106,tblClusters[Cluster],0)),0)</f>
        <v>0</v>
      </c>
      <c r="G106" s="24">
        <f>IFERROR(INDEX(tblClusters[Charge existante CPU hors migration],MATCH($B106,tblClusters[Cluster],0)),0)</f>
        <v>0</v>
      </c>
      <c r="H106" s="24">
        <f>IFERROR(INDEX(tblClusters[Charge existante RAM hors migration (Go)],MATCH($B106,tblClusters[Cluster],0)),0)</f>
        <v>0</v>
      </c>
      <c r="I106" s="24">
        <f ca="1">SUMIFS(tblApplications[CPU cible ROKS],tblApplications[Cluster ROKS cible (auto)],$B106,tblApplications[Mois de bascule prevu],"&lt;="&amp;EOMONTH($A106,0),tblApplications[Inclus projection O/N],"O")</f>
        <v>0</v>
      </c>
      <c r="J106" s="24">
        <f ca="1">SUMIFS(tblApplications[RAM cible ROKS],tblApplications[Cluster ROKS cible (auto)],$B106,tblApplications[Mois de bascule prevu],"&lt;="&amp;EOMONTH($A106,0),tblApplications[Inclus projection O/N],"O")</f>
        <v>0</v>
      </c>
      <c r="K106" s="25">
        <f t="shared" ca="1" si="6"/>
        <v>0</v>
      </c>
      <c r="L106" s="25">
        <f t="shared" ca="1" si="7"/>
        <v>0</v>
      </c>
      <c r="M106" s="26" t="str">
        <f t="shared" si="8"/>
        <v/>
      </c>
      <c r="N106" s="26" t="str">
        <f t="shared" si="9"/>
        <v/>
      </c>
      <c r="O106" s="22" t="str">
        <f ca="1">IF(E106=0,IF(K106&gt;0,"Cluster sans capacite provisionnee","n/a"),IF(OR(M106&gt;=Clusters_ROKS!$AC$5,N106&gt;=Clusters_ROKS!$AC$5),"Seuil depasse","OK"))</f>
        <v>n/a</v>
      </c>
      <c r="P106" s="25">
        <f t="shared" ca="1" si="10"/>
        <v>0</v>
      </c>
      <c r="Q106" s="25">
        <f t="shared" ca="1" si="11"/>
        <v>0</v>
      </c>
      <c r="R106" s="24">
        <f ca="1">IF(AND(P106=0,Q106=0),0,IFERROR(MAX(ROUNDUP(P106/INDEX(tblClusters[vCPU / noeud (deduit)],MATCH($B106,tblClusters[Cluster],0)),0),ROUNDUP(Q106/INDEX(tblClusters[RAM / noeud - Go (deduit)],MATCH($B106,tblClusters[Cluster],0)),0)),"Flavor a definir"))</f>
        <v>0</v>
      </c>
    </row>
    <row r="107" spans="1:18" x14ac:dyDescent="0.2">
      <c r="A107" s="38">
        <v>46569</v>
      </c>
      <c r="B107" s="21" t="s">
        <v>171</v>
      </c>
      <c r="C107" s="28" t="str">
        <f>IFERROR(INDEX(tblClusters[Utilisation],MATCH($B107,tblClusters[Cluster],0)),"")</f>
        <v>LATAM SECRET PROD</v>
      </c>
      <c r="D107" s="28" t="str">
        <f>IFERROR(INDEX(tblClusters[Type (deduit)],MATCH($B107,tblClusters[Cluster],0)),"")</f>
        <v>Dedie</v>
      </c>
      <c r="E107" s="24">
        <f>IFERROR(INDEX(tblClusters[CPU max (cores)],MATCH($B107,tblClusters[Cluster],0)),0)</f>
        <v>0</v>
      </c>
      <c r="F107" s="24">
        <f>IFERROR(INDEX(tblClusters[RAM max (Go)],MATCH($B107,tblClusters[Cluster],0)),0)</f>
        <v>0</v>
      </c>
      <c r="G107" s="24">
        <f>IFERROR(INDEX(tblClusters[Charge existante CPU hors migration],MATCH($B107,tblClusters[Cluster],0)),0)</f>
        <v>0</v>
      </c>
      <c r="H107" s="24">
        <f>IFERROR(INDEX(tblClusters[Charge existante RAM hors migration (Go)],MATCH($B107,tblClusters[Cluster],0)),0)</f>
        <v>0</v>
      </c>
      <c r="I107" s="24">
        <f ca="1">SUMIFS(tblApplications[CPU cible ROKS],tblApplications[Cluster ROKS cible (auto)],$B107,tblApplications[Mois de bascule prevu],"&lt;="&amp;EOMONTH($A107,0),tblApplications[Inclus projection O/N],"O")</f>
        <v>0</v>
      </c>
      <c r="J107" s="24">
        <f ca="1">SUMIFS(tblApplications[RAM cible ROKS],tblApplications[Cluster ROKS cible (auto)],$B107,tblApplications[Mois de bascule prevu],"&lt;="&amp;EOMONTH($A107,0),tblApplications[Inclus projection O/N],"O")</f>
        <v>0</v>
      </c>
      <c r="K107" s="25">
        <f t="shared" ca="1" si="6"/>
        <v>0</v>
      </c>
      <c r="L107" s="25">
        <f t="shared" ca="1" si="7"/>
        <v>0</v>
      </c>
      <c r="M107" s="26" t="str">
        <f t="shared" si="8"/>
        <v/>
      </c>
      <c r="N107" s="26" t="str">
        <f t="shared" si="9"/>
        <v/>
      </c>
      <c r="O107" s="22" t="str">
        <f ca="1">IF(E107=0,IF(K107&gt;0,"Cluster sans capacite provisionnee","n/a"),IF(OR(M107&gt;=Clusters_ROKS!$AC$5,N107&gt;=Clusters_ROKS!$AC$5),"Seuil depasse","OK"))</f>
        <v>n/a</v>
      </c>
      <c r="P107" s="25">
        <f t="shared" ca="1" si="10"/>
        <v>0</v>
      </c>
      <c r="Q107" s="25">
        <f t="shared" ca="1" si="11"/>
        <v>0</v>
      </c>
      <c r="R107" s="24">
        <f ca="1">IF(AND(P107=0,Q107=0),0,IFERROR(MAX(ROUNDUP(P107/INDEX(tblClusters[vCPU / noeud (deduit)],MATCH($B107,tblClusters[Cluster],0)),0),ROUNDUP(Q107/INDEX(tblClusters[RAM / noeud - Go (deduit)],MATCH($B107,tblClusters[Cluster],0)),0)),"Flavor a definir"))</f>
        <v>0</v>
      </c>
    </row>
    <row r="108" spans="1:18" x14ac:dyDescent="0.2">
      <c r="A108" s="38">
        <v>46600</v>
      </c>
      <c r="B108" s="21" t="s">
        <v>171</v>
      </c>
      <c r="C108" s="28" t="str">
        <f>IFERROR(INDEX(tblClusters[Utilisation],MATCH($B108,tblClusters[Cluster],0)),"")</f>
        <v>LATAM SECRET PROD</v>
      </c>
      <c r="D108" s="28" t="str">
        <f>IFERROR(INDEX(tblClusters[Type (deduit)],MATCH($B108,tblClusters[Cluster],0)),"")</f>
        <v>Dedie</v>
      </c>
      <c r="E108" s="24">
        <f>IFERROR(INDEX(tblClusters[CPU max (cores)],MATCH($B108,tblClusters[Cluster],0)),0)</f>
        <v>0</v>
      </c>
      <c r="F108" s="24">
        <f>IFERROR(INDEX(tblClusters[RAM max (Go)],MATCH($B108,tblClusters[Cluster],0)),0)</f>
        <v>0</v>
      </c>
      <c r="G108" s="24">
        <f>IFERROR(INDEX(tblClusters[Charge existante CPU hors migration],MATCH($B108,tblClusters[Cluster],0)),0)</f>
        <v>0</v>
      </c>
      <c r="H108" s="24">
        <f>IFERROR(INDEX(tblClusters[Charge existante RAM hors migration (Go)],MATCH($B108,tblClusters[Cluster],0)),0)</f>
        <v>0</v>
      </c>
      <c r="I108" s="24">
        <f ca="1">SUMIFS(tblApplications[CPU cible ROKS],tblApplications[Cluster ROKS cible (auto)],$B108,tblApplications[Mois de bascule prevu],"&lt;="&amp;EOMONTH($A108,0),tblApplications[Inclus projection O/N],"O")</f>
        <v>0</v>
      </c>
      <c r="J108" s="24">
        <f ca="1">SUMIFS(tblApplications[RAM cible ROKS],tblApplications[Cluster ROKS cible (auto)],$B108,tblApplications[Mois de bascule prevu],"&lt;="&amp;EOMONTH($A108,0),tblApplications[Inclus projection O/N],"O")</f>
        <v>0</v>
      </c>
      <c r="K108" s="25">
        <f t="shared" ca="1" si="6"/>
        <v>0</v>
      </c>
      <c r="L108" s="25">
        <f t="shared" ca="1" si="7"/>
        <v>0</v>
      </c>
      <c r="M108" s="26" t="str">
        <f t="shared" si="8"/>
        <v/>
      </c>
      <c r="N108" s="26" t="str">
        <f t="shared" si="9"/>
        <v/>
      </c>
      <c r="O108" s="22" t="str">
        <f ca="1">IF(E108=0,IF(K108&gt;0,"Cluster sans capacite provisionnee","n/a"),IF(OR(M108&gt;=Clusters_ROKS!$AC$5,N108&gt;=Clusters_ROKS!$AC$5),"Seuil depasse","OK"))</f>
        <v>n/a</v>
      </c>
      <c r="P108" s="25">
        <f t="shared" ca="1" si="10"/>
        <v>0</v>
      </c>
      <c r="Q108" s="25">
        <f t="shared" ca="1" si="11"/>
        <v>0</v>
      </c>
      <c r="R108" s="24">
        <f ca="1">IF(AND(P108=0,Q108=0),0,IFERROR(MAX(ROUNDUP(P108/INDEX(tblClusters[vCPU / noeud (deduit)],MATCH($B108,tblClusters[Cluster],0)),0),ROUNDUP(Q108/INDEX(tblClusters[RAM / noeud - Go (deduit)],MATCH($B108,tblClusters[Cluster],0)),0)),"Flavor a definir"))</f>
        <v>0</v>
      </c>
    </row>
    <row r="109" spans="1:18" x14ac:dyDescent="0.2">
      <c r="A109" s="38">
        <v>46631</v>
      </c>
      <c r="B109" s="21" t="s">
        <v>171</v>
      </c>
      <c r="C109" s="28" t="str">
        <f>IFERROR(INDEX(tblClusters[Utilisation],MATCH($B109,tblClusters[Cluster],0)),"")</f>
        <v>LATAM SECRET PROD</v>
      </c>
      <c r="D109" s="28" t="str">
        <f>IFERROR(INDEX(tblClusters[Type (deduit)],MATCH($B109,tblClusters[Cluster],0)),"")</f>
        <v>Dedie</v>
      </c>
      <c r="E109" s="24">
        <f>IFERROR(INDEX(tblClusters[CPU max (cores)],MATCH($B109,tblClusters[Cluster],0)),0)</f>
        <v>0</v>
      </c>
      <c r="F109" s="24">
        <f>IFERROR(INDEX(tblClusters[RAM max (Go)],MATCH($B109,tblClusters[Cluster],0)),0)</f>
        <v>0</v>
      </c>
      <c r="G109" s="24">
        <f>IFERROR(INDEX(tblClusters[Charge existante CPU hors migration],MATCH($B109,tblClusters[Cluster],0)),0)</f>
        <v>0</v>
      </c>
      <c r="H109" s="24">
        <f>IFERROR(INDEX(tblClusters[Charge existante RAM hors migration (Go)],MATCH($B109,tblClusters[Cluster],0)),0)</f>
        <v>0</v>
      </c>
      <c r="I109" s="24">
        <f ca="1">SUMIFS(tblApplications[CPU cible ROKS],tblApplications[Cluster ROKS cible (auto)],$B109,tblApplications[Mois de bascule prevu],"&lt;="&amp;EOMONTH($A109,0),tblApplications[Inclus projection O/N],"O")</f>
        <v>0</v>
      </c>
      <c r="J109" s="24">
        <f ca="1">SUMIFS(tblApplications[RAM cible ROKS],tblApplications[Cluster ROKS cible (auto)],$B109,tblApplications[Mois de bascule prevu],"&lt;="&amp;EOMONTH($A109,0),tblApplications[Inclus projection O/N],"O")</f>
        <v>0</v>
      </c>
      <c r="K109" s="25">
        <f t="shared" ca="1" si="6"/>
        <v>0</v>
      </c>
      <c r="L109" s="25">
        <f t="shared" ca="1" si="7"/>
        <v>0</v>
      </c>
      <c r="M109" s="26" t="str">
        <f t="shared" si="8"/>
        <v/>
      </c>
      <c r="N109" s="26" t="str">
        <f t="shared" si="9"/>
        <v/>
      </c>
      <c r="O109" s="22" t="str">
        <f ca="1">IF(E109=0,IF(K109&gt;0,"Cluster sans capacite provisionnee","n/a"),IF(OR(M109&gt;=Clusters_ROKS!$AC$5,N109&gt;=Clusters_ROKS!$AC$5),"Seuil depasse","OK"))</f>
        <v>n/a</v>
      </c>
      <c r="P109" s="25">
        <f t="shared" ca="1" si="10"/>
        <v>0</v>
      </c>
      <c r="Q109" s="25">
        <f t="shared" ca="1" si="11"/>
        <v>0</v>
      </c>
      <c r="R109" s="24">
        <f ca="1">IF(AND(P109=0,Q109=0),0,IFERROR(MAX(ROUNDUP(P109/INDEX(tblClusters[vCPU / noeud (deduit)],MATCH($B109,tblClusters[Cluster],0)),0),ROUNDUP(Q109/INDEX(tblClusters[RAM / noeud - Go (deduit)],MATCH($B109,tblClusters[Cluster],0)),0)),"Flavor a definir"))</f>
        <v>0</v>
      </c>
    </row>
    <row r="110" spans="1:18" x14ac:dyDescent="0.2">
      <c r="A110" s="38">
        <v>46661</v>
      </c>
      <c r="B110" s="21" t="s">
        <v>171</v>
      </c>
      <c r="C110" s="28" t="str">
        <f>IFERROR(INDEX(tblClusters[Utilisation],MATCH($B110,tblClusters[Cluster],0)),"")</f>
        <v>LATAM SECRET PROD</v>
      </c>
      <c r="D110" s="28" t="str">
        <f>IFERROR(INDEX(tblClusters[Type (deduit)],MATCH($B110,tblClusters[Cluster],0)),"")</f>
        <v>Dedie</v>
      </c>
      <c r="E110" s="24">
        <f>IFERROR(INDEX(tblClusters[CPU max (cores)],MATCH($B110,tblClusters[Cluster],0)),0)</f>
        <v>0</v>
      </c>
      <c r="F110" s="24">
        <f>IFERROR(INDEX(tblClusters[RAM max (Go)],MATCH($B110,tblClusters[Cluster],0)),0)</f>
        <v>0</v>
      </c>
      <c r="G110" s="24">
        <f>IFERROR(INDEX(tblClusters[Charge existante CPU hors migration],MATCH($B110,tblClusters[Cluster],0)),0)</f>
        <v>0</v>
      </c>
      <c r="H110" s="24">
        <f>IFERROR(INDEX(tblClusters[Charge existante RAM hors migration (Go)],MATCH($B110,tblClusters[Cluster],0)),0)</f>
        <v>0</v>
      </c>
      <c r="I110" s="24">
        <f ca="1">SUMIFS(tblApplications[CPU cible ROKS],tblApplications[Cluster ROKS cible (auto)],$B110,tblApplications[Mois de bascule prevu],"&lt;="&amp;EOMONTH($A110,0),tblApplications[Inclus projection O/N],"O")</f>
        <v>0</v>
      </c>
      <c r="J110" s="24">
        <f ca="1">SUMIFS(tblApplications[RAM cible ROKS],tblApplications[Cluster ROKS cible (auto)],$B110,tblApplications[Mois de bascule prevu],"&lt;="&amp;EOMONTH($A110,0),tblApplications[Inclus projection O/N],"O")</f>
        <v>0</v>
      </c>
      <c r="K110" s="25">
        <f t="shared" ca="1" si="6"/>
        <v>0</v>
      </c>
      <c r="L110" s="25">
        <f t="shared" ca="1" si="7"/>
        <v>0</v>
      </c>
      <c r="M110" s="26" t="str">
        <f t="shared" si="8"/>
        <v/>
      </c>
      <c r="N110" s="26" t="str">
        <f t="shared" si="9"/>
        <v/>
      </c>
      <c r="O110" s="22" t="str">
        <f ca="1">IF(E110=0,IF(K110&gt;0,"Cluster sans capacite provisionnee","n/a"),IF(OR(M110&gt;=Clusters_ROKS!$AC$5,N110&gt;=Clusters_ROKS!$AC$5),"Seuil depasse","OK"))</f>
        <v>n/a</v>
      </c>
      <c r="P110" s="25">
        <f t="shared" ca="1" si="10"/>
        <v>0</v>
      </c>
      <c r="Q110" s="25">
        <f t="shared" ca="1" si="11"/>
        <v>0</v>
      </c>
      <c r="R110" s="24">
        <f ca="1">IF(AND(P110=0,Q110=0),0,IFERROR(MAX(ROUNDUP(P110/INDEX(tblClusters[vCPU / noeud (deduit)],MATCH($B110,tblClusters[Cluster],0)),0),ROUNDUP(Q110/INDEX(tblClusters[RAM / noeud - Go (deduit)],MATCH($B110,tblClusters[Cluster],0)),0)),"Flavor a definir"))</f>
        <v>0</v>
      </c>
    </row>
    <row r="111" spans="1:18" x14ac:dyDescent="0.2">
      <c r="A111" s="38">
        <v>46692</v>
      </c>
      <c r="B111" s="21" t="s">
        <v>171</v>
      </c>
      <c r="C111" s="28" t="str">
        <f>IFERROR(INDEX(tblClusters[Utilisation],MATCH($B111,tblClusters[Cluster],0)),"")</f>
        <v>LATAM SECRET PROD</v>
      </c>
      <c r="D111" s="28" t="str">
        <f>IFERROR(INDEX(tblClusters[Type (deduit)],MATCH($B111,tblClusters[Cluster],0)),"")</f>
        <v>Dedie</v>
      </c>
      <c r="E111" s="24">
        <f>IFERROR(INDEX(tblClusters[CPU max (cores)],MATCH($B111,tblClusters[Cluster],0)),0)</f>
        <v>0</v>
      </c>
      <c r="F111" s="24">
        <f>IFERROR(INDEX(tblClusters[RAM max (Go)],MATCH($B111,tblClusters[Cluster],0)),0)</f>
        <v>0</v>
      </c>
      <c r="G111" s="24">
        <f>IFERROR(INDEX(tblClusters[Charge existante CPU hors migration],MATCH($B111,tblClusters[Cluster],0)),0)</f>
        <v>0</v>
      </c>
      <c r="H111" s="24">
        <f>IFERROR(INDEX(tblClusters[Charge existante RAM hors migration (Go)],MATCH($B111,tblClusters[Cluster],0)),0)</f>
        <v>0</v>
      </c>
      <c r="I111" s="24">
        <f ca="1">SUMIFS(tblApplications[CPU cible ROKS],tblApplications[Cluster ROKS cible (auto)],$B111,tblApplications[Mois de bascule prevu],"&lt;="&amp;EOMONTH($A111,0),tblApplications[Inclus projection O/N],"O")</f>
        <v>0</v>
      </c>
      <c r="J111" s="24">
        <f ca="1">SUMIFS(tblApplications[RAM cible ROKS],tblApplications[Cluster ROKS cible (auto)],$B111,tblApplications[Mois de bascule prevu],"&lt;="&amp;EOMONTH($A111,0),tblApplications[Inclus projection O/N],"O")</f>
        <v>0</v>
      </c>
      <c r="K111" s="25">
        <f t="shared" ca="1" si="6"/>
        <v>0</v>
      </c>
      <c r="L111" s="25">
        <f t="shared" ca="1" si="7"/>
        <v>0</v>
      </c>
      <c r="M111" s="26" t="str">
        <f t="shared" si="8"/>
        <v/>
      </c>
      <c r="N111" s="26" t="str">
        <f t="shared" si="9"/>
        <v/>
      </c>
      <c r="O111" s="22" t="str">
        <f ca="1">IF(E111=0,IF(K111&gt;0,"Cluster sans capacite provisionnee","n/a"),IF(OR(M111&gt;=Clusters_ROKS!$AC$5,N111&gt;=Clusters_ROKS!$AC$5),"Seuil depasse","OK"))</f>
        <v>n/a</v>
      </c>
      <c r="P111" s="25">
        <f t="shared" ca="1" si="10"/>
        <v>0</v>
      </c>
      <c r="Q111" s="25">
        <f t="shared" ca="1" si="11"/>
        <v>0</v>
      </c>
      <c r="R111" s="24">
        <f ca="1">IF(AND(P111=0,Q111=0),0,IFERROR(MAX(ROUNDUP(P111/INDEX(tblClusters[vCPU / noeud (deduit)],MATCH($B111,tblClusters[Cluster],0)),0),ROUNDUP(Q111/INDEX(tblClusters[RAM / noeud - Go (deduit)],MATCH($B111,tblClusters[Cluster],0)),0)),"Flavor a definir"))</f>
        <v>0</v>
      </c>
    </row>
    <row r="112" spans="1:18" x14ac:dyDescent="0.2">
      <c r="A112" s="38">
        <v>46722</v>
      </c>
      <c r="B112" s="21" t="s">
        <v>171</v>
      </c>
      <c r="C112" s="28" t="str">
        <f>IFERROR(INDEX(tblClusters[Utilisation],MATCH($B112,tblClusters[Cluster],0)),"")</f>
        <v>LATAM SECRET PROD</v>
      </c>
      <c r="D112" s="28" t="str">
        <f>IFERROR(INDEX(tblClusters[Type (deduit)],MATCH($B112,tblClusters[Cluster],0)),"")</f>
        <v>Dedie</v>
      </c>
      <c r="E112" s="24">
        <f>IFERROR(INDEX(tblClusters[CPU max (cores)],MATCH($B112,tblClusters[Cluster],0)),0)</f>
        <v>0</v>
      </c>
      <c r="F112" s="24">
        <f>IFERROR(INDEX(tblClusters[RAM max (Go)],MATCH($B112,tblClusters[Cluster],0)),0)</f>
        <v>0</v>
      </c>
      <c r="G112" s="24">
        <f>IFERROR(INDEX(tblClusters[Charge existante CPU hors migration],MATCH($B112,tblClusters[Cluster],0)),0)</f>
        <v>0</v>
      </c>
      <c r="H112" s="24">
        <f>IFERROR(INDEX(tblClusters[Charge existante RAM hors migration (Go)],MATCH($B112,tblClusters[Cluster],0)),0)</f>
        <v>0</v>
      </c>
      <c r="I112" s="24">
        <f ca="1">SUMIFS(tblApplications[CPU cible ROKS],tblApplications[Cluster ROKS cible (auto)],$B112,tblApplications[Mois de bascule prevu],"&lt;="&amp;EOMONTH($A112,0),tblApplications[Inclus projection O/N],"O")</f>
        <v>0</v>
      </c>
      <c r="J112" s="24">
        <f ca="1">SUMIFS(tblApplications[RAM cible ROKS],tblApplications[Cluster ROKS cible (auto)],$B112,tblApplications[Mois de bascule prevu],"&lt;="&amp;EOMONTH($A112,0),tblApplications[Inclus projection O/N],"O")</f>
        <v>0</v>
      </c>
      <c r="K112" s="25">
        <f t="shared" ca="1" si="6"/>
        <v>0</v>
      </c>
      <c r="L112" s="25">
        <f t="shared" ca="1" si="7"/>
        <v>0</v>
      </c>
      <c r="M112" s="26" t="str">
        <f t="shared" si="8"/>
        <v/>
      </c>
      <c r="N112" s="26" t="str">
        <f t="shared" si="9"/>
        <v/>
      </c>
      <c r="O112" s="22" t="str">
        <f ca="1">IF(E112=0,IF(K112&gt;0,"Cluster sans capacite provisionnee","n/a"),IF(OR(M112&gt;=Clusters_ROKS!$AC$5,N112&gt;=Clusters_ROKS!$AC$5),"Seuil depasse","OK"))</f>
        <v>n/a</v>
      </c>
      <c r="P112" s="25">
        <f t="shared" ca="1" si="10"/>
        <v>0</v>
      </c>
      <c r="Q112" s="25">
        <f t="shared" ca="1" si="11"/>
        <v>0</v>
      </c>
      <c r="R112" s="24">
        <f ca="1">IF(AND(P112=0,Q112=0),0,IFERROR(MAX(ROUNDUP(P112/INDEX(tblClusters[vCPU / noeud (deduit)],MATCH($B112,tblClusters[Cluster],0)),0),ROUNDUP(Q112/INDEX(tblClusters[RAM / noeud - Go (deduit)],MATCH($B112,tblClusters[Cluster],0)),0)),"Flavor a definir"))</f>
        <v>0</v>
      </c>
    </row>
    <row r="113" spans="1:18" x14ac:dyDescent="0.2">
      <c r="A113" s="38">
        <v>46388</v>
      </c>
      <c r="B113" s="21" t="s">
        <v>173</v>
      </c>
      <c r="C113" s="28" t="str">
        <f>IFERROR(INDEX(tblClusters[Utilisation],MATCH($B113,tblClusters[Cluster],0)),"")</f>
        <v>LATAM SECRET PROD</v>
      </c>
      <c r="D113" s="28" t="str">
        <f>IFERROR(INDEX(tblClusters[Type (deduit)],MATCH($B113,tblClusters[Cluster],0)),"")</f>
        <v>Dedie</v>
      </c>
      <c r="E113" s="24">
        <f>IFERROR(INDEX(tblClusters[CPU max (cores)],MATCH($B113,tblClusters[Cluster],0)),0)</f>
        <v>48</v>
      </c>
      <c r="F113" s="24">
        <f>IFERROR(INDEX(tblClusters[RAM max (Go)],MATCH($B113,tblClusters[Cluster],0)),0)</f>
        <v>240</v>
      </c>
      <c r="G113" s="24">
        <f>IFERROR(INDEX(tblClusters[Charge existante CPU hors migration],MATCH($B113,tblClusters[Cluster],0)),0)</f>
        <v>0</v>
      </c>
      <c r="H113" s="24">
        <f>IFERROR(INDEX(tblClusters[Charge existante RAM hors migration (Go)],MATCH($B113,tblClusters[Cluster],0)),0)</f>
        <v>0</v>
      </c>
      <c r="I113" s="24">
        <f ca="1">SUMIFS(tblApplications[CPU cible ROKS],tblApplications[Cluster ROKS cible (auto)],$B113,tblApplications[Mois de bascule prevu],"&lt;="&amp;EOMONTH($A113,0),tblApplications[Inclus projection O/N],"O")</f>
        <v>0</v>
      </c>
      <c r="J113" s="24">
        <f ca="1">SUMIFS(tblApplications[RAM cible ROKS],tblApplications[Cluster ROKS cible (auto)],$B113,tblApplications[Mois de bascule prevu],"&lt;="&amp;EOMONTH($A113,0),tblApplications[Inclus projection O/N],"O")</f>
        <v>0</v>
      </c>
      <c r="K113" s="25">
        <f t="shared" ca="1" si="6"/>
        <v>0</v>
      </c>
      <c r="L113" s="25">
        <f t="shared" ca="1" si="7"/>
        <v>0</v>
      </c>
      <c r="M113" s="26">
        <f t="shared" ca="1" si="8"/>
        <v>0</v>
      </c>
      <c r="N113" s="26">
        <f t="shared" ca="1" si="9"/>
        <v>0</v>
      </c>
      <c r="O113" s="22" t="str">
        <f ca="1">IF(E113=0,IF(K113&gt;0,"Cluster sans capacite provisionnee","n/a"),IF(OR(M113&gt;=Clusters_ROKS!$AC$5,N113&gt;=Clusters_ROKS!$AC$5),"Seuil depasse","OK"))</f>
        <v>OK</v>
      </c>
      <c r="P113" s="25">
        <f t="shared" ca="1" si="10"/>
        <v>0</v>
      </c>
      <c r="Q113" s="25">
        <f t="shared" ca="1" si="11"/>
        <v>0</v>
      </c>
      <c r="R113" s="24">
        <f ca="1">IF(AND(P113=0,Q113=0),0,IFERROR(MAX(ROUNDUP(P113/INDEX(tblClusters[vCPU / noeud (deduit)],MATCH($B113,tblClusters[Cluster],0)),0),ROUNDUP(Q113/INDEX(tblClusters[RAM / noeud - Go (deduit)],MATCH($B113,tblClusters[Cluster],0)),0)),"Flavor a definir"))</f>
        <v>0</v>
      </c>
    </row>
    <row r="114" spans="1:18" x14ac:dyDescent="0.2">
      <c r="A114" s="38">
        <v>46419</v>
      </c>
      <c r="B114" s="21" t="s">
        <v>173</v>
      </c>
      <c r="C114" s="28" t="str">
        <f>IFERROR(INDEX(tblClusters[Utilisation],MATCH($B114,tblClusters[Cluster],0)),"")</f>
        <v>LATAM SECRET PROD</v>
      </c>
      <c r="D114" s="28" t="str">
        <f>IFERROR(INDEX(tblClusters[Type (deduit)],MATCH($B114,tblClusters[Cluster],0)),"")</f>
        <v>Dedie</v>
      </c>
      <c r="E114" s="24">
        <f>IFERROR(INDEX(tblClusters[CPU max (cores)],MATCH($B114,tblClusters[Cluster],0)),0)</f>
        <v>48</v>
      </c>
      <c r="F114" s="24">
        <f>IFERROR(INDEX(tblClusters[RAM max (Go)],MATCH($B114,tblClusters[Cluster],0)),0)</f>
        <v>240</v>
      </c>
      <c r="G114" s="24">
        <f>IFERROR(INDEX(tblClusters[Charge existante CPU hors migration],MATCH($B114,tblClusters[Cluster],0)),0)</f>
        <v>0</v>
      </c>
      <c r="H114" s="24">
        <f>IFERROR(INDEX(tblClusters[Charge existante RAM hors migration (Go)],MATCH($B114,tblClusters[Cluster],0)),0)</f>
        <v>0</v>
      </c>
      <c r="I114" s="24">
        <f ca="1">SUMIFS(tblApplications[CPU cible ROKS],tblApplications[Cluster ROKS cible (auto)],$B114,tblApplications[Mois de bascule prevu],"&lt;="&amp;EOMONTH($A114,0),tblApplications[Inclus projection O/N],"O")</f>
        <v>0</v>
      </c>
      <c r="J114" s="24">
        <f ca="1">SUMIFS(tblApplications[RAM cible ROKS],tblApplications[Cluster ROKS cible (auto)],$B114,tblApplications[Mois de bascule prevu],"&lt;="&amp;EOMONTH($A114,0),tblApplications[Inclus projection O/N],"O")</f>
        <v>0</v>
      </c>
      <c r="K114" s="25">
        <f t="shared" ca="1" si="6"/>
        <v>0</v>
      </c>
      <c r="L114" s="25">
        <f t="shared" ca="1" si="7"/>
        <v>0</v>
      </c>
      <c r="M114" s="26">
        <f t="shared" ca="1" si="8"/>
        <v>0</v>
      </c>
      <c r="N114" s="26">
        <f t="shared" ca="1" si="9"/>
        <v>0</v>
      </c>
      <c r="O114" s="22" t="str">
        <f ca="1">IF(E114=0,IF(K114&gt;0,"Cluster sans capacite provisionnee","n/a"),IF(OR(M114&gt;=Clusters_ROKS!$AC$5,N114&gt;=Clusters_ROKS!$AC$5),"Seuil depasse","OK"))</f>
        <v>OK</v>
      </c>
      <c r="P114" s="25">
        <f t="shared" ca="1" si="10"/>
        <v>0</v>
      </c>
      <c r="Q114" s="25">
        <f t="shared" ca="1" si="11"/>
        <v>0</v>
      </c>
      <c r="R114" s="24">
        <f ca="1">IF(AND(P114=0,Q114=0),0,IFERROR(MAX(ROUNDUP(P114/INDEX(tblClusters[vCPU / noeud (deduit)],MATCH($B114,tblClusters[Cluster],0)),0),ROUNDUP(Q114/INDEX(tblClusters[RAM / noeud - Go (deduit)],MATCH($B114,tblClusters[Cluster],0)),0)),"Flavor a definir"))</f>
        <v>0</v>
      </c>
    </row>
    <row r="115" spans="1:18" x14ac:dyDescent="0.2">
      <c r="A115" s="38">
        <v>46447</v>
      </c>
      <c r="B115" s="21" t="s">
        <v>173</v>
      </c>
      <c r="C115" s="28" t="str">
        <f>IFERROR(INDEX(tblClusters[Utilisation],MATCH($B115,tblClusters[Cluster],0)),"")</f>
        <v>LATAM SECRET PROD</v>
      </c>
      <c r="D115" s="28" t="str">
        <f>IFERROR(INDEX(tblClusters[Type (deduit)],MATCH($B115,tblClusters[Cluster],0)),"")</f>
        <v>Dedie</v>
      </c>
      <c r="E115" s="24">
        <f>IFERROR(INDEX(tblClusters[CPU max (cores)],MATCH($B115,tblClusters[Cluster],0)),0)</f>
        <v>48</v>
      </c>
      <c r="F115" s="24">
        <f>IFERROR(INDEX(tblClusters[RAM max (Go)],MATCH($B115,tblClusters[Cluster],0)),0)</f>
        <v>240</v>
      </c>
      <c r="G115" s="24">
        <f>IFERROR(INDEX(tblClusters[Charge existante CPU hors migration],MATCH($B115,tblClusters[Cluster],0)),0)</f>
        <v>0</v>
      </c>
      <c r="H115" s="24">
        <f>IFERROR(INDEX(tblClusters[Charge existante RAM hors migration (Go)],MATCH($B115,tblClusters[Cluster],0)),0)</f>
        <v>0</v>
      </c>
      <c r="I115" s="24">
        <f ca="1">SUMIFS(tblApplications[CPU cible ROKS],tblApplications[Cluster ROKS cible (auto)],$B115,tblApplications[Mois de bascule prevu],"&lt;="&amp;EOMONTH($A115,0),tblApplications[Inclus projection O/N],"O")</f>
        <v>0</v>
      </c>
      <c r="J115" s="24">
        <f ca="1">SUMIFS(tblApplications[RAM cible ROKS],tblApplications[Cluster ROKS cible (auto)],$B115,tblApplications[Mois de bascule prevu],"&lt;="&amp;EOMONTH($A115,0),tblApplications[Inclus projection O/N],"O")</f>
        <v>0</v>
      </c>
      <c r="K115" s="25">
        <f t="shared" ca="1" si="6"/>
        <v>0</v>
      </c>
      <c r="L115" s="25">
        <f t="shared" ca="1" si="7"/>
        <v>0</v>
      </c>
      <c r="M115" s="26">
        <f t="shared" ca="1" si="8"/>
        <v>0</v>
      </c>
      <c r="N115" s="26">
        <f t="shared" ca="1" si="9"/>
        <v>0</v>
      </c>
      <c r="O115" s="22" t="str">
        <f ca="1">IF(E115=0,IF(K115&gt;0,"Cluster sans capacite provisionnee","n/a"),IF(OR(M115&gt;=Clusters_ROKS!$AC$5,N115&gt;=Clusters_ROKS!$AC$5),"Seuil depasse","OK"))</f>
        <v>OK</v>
      </c>
      <c r="P115" s="25">
        <f t="shared" ca="1" si="10"/>
        <v>0</v>
      </c>
      <c r="Q115" s="25">
        <f t="shared" ca="1" si="11"/>
        <v>0</v>
      </c>
      <c r="R115" s="24">
        <f ca="1">IF(AND(P115=0,Q115=0),0,IFERROR(MAX(ROUNDUP(P115/INDEX(tblClusters[vCPU / noeud (deduit)],MATCH($B115,tblClusters[Cluster],0)),0),ROUNDUP(Q115/INDEX(tblClusters[RAM / noeud - Go (deduit)],MATCH($B115,tblClusters[Cluster],0)),0)),"Flavor a definir"))</f>
        <v>0</v>
      </c>
    </row>
    <row r="116" spans="1:18" x14ac:dyDescent="0.2">
      <c r="A116" s="38">
        <v>46478</v>
      </c>
      <c r="B116" s="21" t="s">
        <v>173</v>
      </c>
      <c r="C116" s="28" t="str">
        <f>IFERROR(INDEX(tblClusters[Utilisation],MATCH($B116,tblClusters[Cluster],0)),"")</f>
        <v>LATAM SECRET PROD</v>
      </c>
      <c r="D116" s="28" t="str">
        <f>IFERROR(INDEX(tblClusters[Type (deduit)],MATCH($B116,tblClusters[Cluster],0)),"")</f>
        <v>Dedie</v>
      </c>
      <c r="E116" s="24">
        <f>IFERROR(INDEX(tblClusters[CPU max (cores)],MATCH($B116,tblClusters[Cluster],0)),0)</f>
        <v>48</v>
      </c>
      <c r="F116" s="24">
        <f>IFERROR(INDEX(tblClusters[RAM max (Go)],MATCH($B116,tblClusters[Cluster],0)),0)</f>
        <v>240</v>
      </c>
      <c r="G116" s="24">
        <f>IFERROR(INDEX(tblClusters[Charge existante CPU hors migration],MATCH($B116,tblClusters[Cluster],0)),0)</f>
        <v>0</v>
      </c>
      <c r="H116" s="24">
        <f>IFERROR(INDEX(tblClusters[Charge existante RAM hors migration (Go)],MATCH($B116,tblClusters[Cluster],0)),0)</f>
        <v>0</v>
      </c>
      <c r="I116" s="24">
        <f ca="1">SUMIFS(tblApplications[CPU cible ROKS],tblApplications[Cluster ROKS cible (auto)],$B116,tblApplications[Mois de bascule prevu],"&lt;="&amp;EOMONTH($A116,0),tblApplications[Inclus projection O/N],"O")</f>
        <v>0</v>
      </c>
      <c r="J116" s="24">
        <f ca="1">SUMIFS(tblApplications[RAM cible ROKS],tblApplications[Cluster ROKS cible (auto)],$B116,tblApplications[Mois de bascule prevu],"&lt;="&amp;EOMONTH($A116,0),tblApplications[Inclus projection O/N],"O")</f>
        <v>0</v>
      </c>
      <c r="K116" s="25">
        <f t="shared" ca="1" si="6"/>
        <v>0</v>
      </c>
      <c r="L116" s="25">
        <f t="shared" ca="1" si="7"/>
        <v>0</v>
      </c>
      <c r="M116" s="26">
        <f t="shared" ca="1" si="8"/>
        <v>0</v>
      </c>
      <c r="N116" s="26">
        <f t="shared" ca="1" si="9"/>
        <v>0</v>
      </c>
      <c r="O116" s="22" t="str">
        <f ca="1">IF(E116=0,IF(K116&gt;0,"Cluster sans capacite provisionnee","n/a"),IF(OR(M116&gt;=Clusters_ROKS!$AC$5,N116&gt;=Clusters_ROKS!$AC$5),"Seuil depasse","OK"))</f>
        <v>OK</v>
      </c>
      <c r="P116" s="25">
        <f t="shared" ca="1" si="10"/>
        <v>0</v>
      </c>
      <c r="Q116" s="25">
        <f t="shared" ca="1" si="11"/>
        <v>0</v>
      </c>
      <c r="R116" s="24">
        <f ca="1">IF(AND(P116=0,Q116=0),0,IFERROR(MAX(ROUNDUP(P116/INDEX(tblClusters[vCPU / noeud (deduit)],MATCH($B116,tblClusters[Cluster],0)),0),ROUNDUP(Q116/INDEX(tblClusters[RAM / noeud - Go (deduit)],MATCH($B116,tblClusters[Cluster],0)),0)),"Flavor a definir"))</f>
        <v>0</v>
      </c>
    </row>
    <row r="117" spans="1:18" x14ac:dyDescent="0.2">
      <c r="A117" s="38">
        <v>46508</v>
      </c>
      <c r="B117" s="21" t="s">
        <v>173</v>
      </c>
      <c r="C117" s="28" t="str">
        <f>IFERROR(INDEX(tblClusters[Utilisation],MATCH($B117,tblClusters[Cluster],0)),"")</f>
        <v>LATAM SECRET PROD</v>
      </c>
      <c r="D117" s="28" t="str">
        <f>IFERROR(INDEX(tblClusters[Type (deduit)],MATCH($B117,tblClusters[Cluster],0)),"")</f>
        <v>Dedie</v>
      </c>
      <c r="E117" s="24">
        <f>IFERROR(INDEX(tblClusters[CPU max (cores)],MATCH($B117,tblClusters[Cluster],0)),0)</f>
        <v>48</v>
      </c>
      <c r="F117" s="24">
        <f>IFERROR(INDEX(tblClusters[RAM max (Go)],MATCH($B117,tblClusters[Cluster],0)),0)</f>
        <v>240</v>
      </c>
      <c r="G117" s="24">
        <f>IFERROR(INDEX(tblClusters[Charge existante CPU hors migration],MATCH($B117,tblClusters[Cluster],0)),0)</f>
        <v>0</v>
      </c>
      <c r="H117" s="24">
        <f>IFERROR(INDEX(tblClusters[Charge existante RAM hors migration (Go)],MATCH($B117,tblClusters[Cluster],0)),0)</f>
        <v>0</v>
      </c>
      <c r="I117" s="24">
        <f ca="1">SUMIFS(tblApplications[CPU cible ROKS],tblApplications[Cluster ROKS cible (auto)],$B117,tblApplications[Mois de bascule prevu],"&lt;="&amp;EOMONTH($A117,0),tblApplications[Inclus projection O/N],"O")</f>
        <v>0</v>
      </c>
      <c r="J117" s="24">
        <f ca="1">SUMIFS(tblApplications[RAM cible ROKS],tblApplications[Cluster ROKS cible (auto)],$B117,tblApplications[Mois de bascule prevu],"&lt;="&amp;EOMONTH($A117,0),tblApplications[Inclus projection O/N],"O")</f>
        <v>0</v>
      </c>
      <c r="K117" s="25">
        <f t="shared" ca="1" si="6"/>
        <v>0</v>
      </c>
      <c r="L117" s="25">
        <f t="shared" ca="1" si="7"/>
        <v>0</v>
      </c>
      <c r="M117" s="26">
        <f t="shared" ca="1" si="8"/>
        <v>0</v>
      </c>
      <c r="N117" s="26">
        <f t="shared" ca="1" si="9"/>
        <v>0</v>
      </c>
      <c r="O117" s="22" t="str">
        <f ca="1">IF(E117=0,IF(K117&gt;0,"Cluster sans capacite provisionnee","n/a"),IF(OR(M117&gt;=Clusters_ROKS!$AC$5,N117&gt;=Clusters_ROKS!$AC$5),"Seuil depasse","OK"))</f>
        <v>OK</v>
      </c>
      <c r="P117" s="25">
        <f t="shared" ca="1" si="10"/>
        <v>0</v>
      </c>
      <c r="Q117" s="25">
        <f t="shared" ca="1" si="11"/>
        <v>0</v>
      </c>
      <c r="R117" s="24">
        <f ca="1">IF(AND(P117=0,Q117=0),0,IFERROR(MAX(ROUNDUP(P117/INDEX(tblClusters[vCPU / noeud (deduit)],MATCH($B117,tblClusters[Cluster],0)),0),ROUNDUP(Q117/INDEX(tblClusters[RAM / noeud - Go (deduit)],MATCH($B117,tblClusters[Cluster],0)),0)),"Flavor a definir"))</f>
        <v>0</v>
      </c>
    </row>
    <row r="118" spans="1:18" x14ac:dyDescent="0.2">
      <c r="A118" s="38">
        <v>46539</v>
      </c>
      <c r="B118" s="21" t="s">
        <v>173</v>
      </c>
      <c r="C118" s="28" t="str">
        <f>IFERROR(INDEX(tblClusters[Utilisation],MATCH($B118,tblClusters[Cluster],0)),"")</f>
        <v>LATAM SECRET PROD</v>
      </c>
      <c r="D118" s="28" t="str">
        <f>IFERROR(INDEX(tblClusters[Type (deduit)],MATCH($B118,tblClusters[Cluster],0)),"")</f>
        <v>Dedie</v>
      </c>
      <c r="E118" s="24">
        <f>IFERROR(INDEX(tblClusters[CPU max (cores)],MATCH($B118,tblClusters[Cluster],0)),0)</f>
        <v>48</v>
      </c>
      <c r="F118" s="24">
        <f>IFERROR(INDEX(tblClusters[RAM max (Go)],MATCH($B118,tblClusters[Cluster],0)),0)</f>
        <v>240</v>
      </c>
      <c r="G118" s="24">
        <f>IFERROR(INDEX(tblClusters[Charge existante CPU hors migration],MATCH($B118,tblClusters[Cluster],0)),0)</f>
        <v>0</v>
      </c>
      <c r="H118" s="24">
        <f>IFERROR(INDEX(tblClusters[Charge existante RAM hors migration (Go)],MATCH($B118,tblClusters[Cluster],0)),0)</f>
        <v>0</v>
      </c>
      <c r="I118" s="24">
        <f ca="1">SUMIFS(tblApplications[CPU cible ROKS],tblApplications[Cluster ROKS cible (auto)],$B118,tblApplications[Mois de bascule prevu],"&lt;="&amp;EOMONTH($A118,0),tblApplications[Inclus projection O/N],"O")</f>
        <v>0</v>
      </c>
      <c r="J118" s="24">
        <f ca="1">SUMIFS(tblApplications[RAM cible ROKS],tblApplications[Cluster ROKS cible (auto)],$B118,tblApplications[Mois de bascule prevu],"&lt;="&amp;EOMONTH($A118,0),tblApplications[Inclus projection O/N],"O")</f>
        <v>0</v>
      </c>
      <c r="K118" s="25">
        <f t="shared" ca="1" si="6"/>
        <v>0</v>
      </c>
      <c r="L118" s="25">
        <f t="shared" ca="1" si="7"/>
        <v>0</v>
      </c>
      <c r="M118" s="26">
        <f t="shared" ca="1" si="8"/>
        <v>0</v>
      </c>
      <c r="N118" s="26">
        <f t="shared" ca="1" si="9"/>
        <v>0</v>
      </c>
      <c r="O118" s="22" t="str">
        <f ca="1">IF(E118=0,IF(K118&gt;0,"Cluster sans capacite provisionnee","n/a"),IF(OR(M118&gt;=Clusters_ROKS!$AC$5,N118&gt;=Clusters_ROKS!$AC$5),"Seuil depasse","OK"))</f>
        <v>OK</v>
      </c>
      <c r="P118" s="25">
        <f t="shared" ca="1" si="10"/>
        <v>0</v>
      </c>
      <c r="Q118" s="25">
        <f t="shared" ca="1" si="11"/>
        <v>0</v>
      </c>
      <c r="R118" s="24">
        <f ca="1">IF(AND(P118=0,Q118=0),0,IFERROR(MAX(ROUNDUP(P118/INDEX(tblClusters[vCPU / noeud (deduit)],MATCH($B118,tblClusters[Cluster],0)),0),ROUNDUP(Q118/INDEX(tblClusters[RAM / noeud - Go (deduit)],MATCH($B118,tblClusters[Cluster],0)),0)),"Flavor a definir"))</f>
        <v>0</v>
      </c>
    </row>
    <row r="119" spans="1:18" x14ac:dyDescent="0.2">
      <c r="A119" s="38">
        <v>46569</v>
      </c>
      <c r="B119" s="21" t="s">
        <v>173</v>
      </c>
      <c r="C119" s="28" t="str">
        <f>IFERROR(INDEX(tblClusters[Utilisation],MATCH($B119,tblClusters[Cluster],0)),"")</f>
        <v>LATAM SECRET PROD</v>
      </c>
      <c r="D119" s="28" t="str">
        <f>IFERROR(INDEX(tblClusters[Type (deduit)],MATCH($B119,tblClusters[Cluster],0)),"")</f>
        <v>Dedie</v>
      </c>
      <c r="E119" s="24">
        <f>IFERROR(INDEX(tblClusters[CPU max (cores)],MATCH($B119,tblClusters[Cluster],0)),0)</f>
        <v>48</v>
      </c>
      <c r="F119" s="24">
        <f>IFERROR(INDEX(tblClusters[RAM max (Go)],MATCH($B119,tblClusters[Cluster],0)),0)</f>
        <v>240</v>
      </c>
      <c r="G119" s="24">
        <f>IFERROR(INDEX(tblClusters[Charge existante CPU hors migration],MATCH($B119,tblClusters[Cluster],0)),0)</f>
        <v>0</v>
      </c>
      <c r="H119" s="24">
        <f>IFERROR(INDEX(tblClusters[Charge existante RAM hors migration (Go)],MATCH($B119,tblClusters[Cluster],0)),0)</f>
        <v>0</v>
      </c>
      <c r="I119" s="24">
        <f ca="1">SUMIFS(tblApplications[CPU cible ROKS],tblApplications[Cluster ROKS cible (auto)],$B119,tblApplications[Mois de bascule prevu],"&lt;="&amp;EOMONTH($A119,0),tblApplications[Inclus projection O/N],"O")</f>
        <v>0</v>
      </c>
      <c r="J119" s="24">
        <f ca="1">SUMIFS(tblApplications[RAM cible ROKS],tblApplications[Cluster ROKS cible (auto)],$B119,tblApplications[Mois de bascule prevu],"&lt;="&amp;EOMONTH($A119,0),tblApplications[Inclus projection O/N],"O")</f>
        <v>0</v>
      </c>
      <c r="K119" s="25">
        <f t="shared" ca="1" si="6"/>
        <v>0</v>
      </c>
      <c r="L119" s="25">
        <f t="shared" ca="1" si="7"/>
        <v>0</v>
      </c>
      <c r="M119" s="26">
        <f t="shared" ca="1" si="8"/>
        <v>0</v>
      </c>
      <c r="N119" s="26">
        <f t="shared" ca="1" si="9"/>
        <v>0</v>
      </c>
      <c r="O119" s="22" t="str">
        <f ca="1">IF(E119=0,IF(K119&gt;0,"Cluster sans capacite provisionnee","n/a"),IF(OR(M119&gt;=Clusters_ROKS!$AC$5,N119&gt;=Clusters_ROKS!$AC$5),"Seuil depasse","OK"))</f>
        <v>OK</v>
      </c>
      <c r="P119" s="25">
        <f t="shared" ca="1" si="10"/>
        <v>0</v>
      </c>
      <c r="Q119" s="25">
        <f t="shared" ca="1" si="11"/>
        <v>0</v>
      </c>
      <c r="R119" s="24">
        <f ca="1">IF(AND(P119=0,Q119=0),0,IFERROR(MAX(ROUNDUP(P119/INDEX(tblClusters[vCPU / noeud (deduit)],MATCH($B119,tblClusters[Cluster],0)),0),ROUNDUP(Q119/INDEX(tblClusters[RAM / noeud - Go (deduit)],MATCH($B119,tblClusters[Cluster],0)),0)),"Flavor a definir"))</f>
        <v>0</v>
      </c>
    </row>
    <row r="120" spans="1:18" x14ac:dyDescent="0.2">
      <c r="A120" s="38">
        <v>46600</v>
      </c>
      <c r="B120" s="21" t="s">
        <v>173</v>
      </c>
      <c r="C120" s="28" t="str">
        <f>IFERROR(INDEX(tblClusters[Utilisation],MATCH($B120,tblClusters[Cluster],0)),"")</f>
        <v>LATAM SECRET PROD</v>
      </c>
      <c r="D120" s="28" t="str">
        <f>IFERROR(INDEX(tblClusters[Type (deduit)],MATCH($B120,tblClusters[Cluster],0)),"")</f>
        <v>Dedie</v>
      </c>
      <c r="E120" s="24">
        <f>IFERROR(INDEX(tblClusters[CPU max (cores)],MATCH($B120,tblClusters[Cluster],0)),0)</f>
        <v>48</v>
      </c>
      <c r="F120" s="24">
        <f>IFERROR(INDEX(tblClusters[RAM max (Go)],MATCH($B120,tblClusters[Cluster],0)),0)</f>
        <v>240</v>
      </c>
      <c r="G120" s="24">
        <f>IFERROR(INDEX(tblClusters[Charge existante CPU hors migration],MATCH($B120,tblClusters[Cluster],0)),0)</f>
        <v>0</v>
      </c>
      <c r="H120" s="24">
        <f>IFERROR(INDEX(tblClusters[Charge existante RAM hors migration (Go)],MATCH($B120,tblClusters[Cluster],0)),0)</f>
        <v>0</v>
      </c>
      <c r="I120" s="24">
        <f ca="1">SUMIFS(tblApplications[CPU cible ROKS],tblApplications[Cluster ROKS cible (auto)],$B120,tblApplications[Mois de bascule prevu],"&lt;="&amp;EOMONTH($A120,0),tblApplications[Inclus projection O/N],"O")</f>
        <v>0</v>
      </c>
      <c r="J120" s="24">
        <f ca="1">SUMIFS(tblApplications[RAM cible ROKS],tblApplications[Cluster ROKS cible (auto)],$B120,tblApplications[Mois de bascule prevu],"&lt;="&amp;EOMONTH($A120,0),tblApplications[Inclus projection O/N],"O")</f>
        <v>0</v>
      </c>
      <c r="K120" s="25">
        <f t="shared" ca="1" si="6"/>
        <v>0</v>
      </c>
      <c r="L120" s="25">
        <f t="shared" ca="1" si="7"/>
        <v>0</v>
      </c>
      <c r="M120" s="26">
        <f t="shared" ca="1" si="8"/>
        <v>0</v>
      </c>
      <c r="N120" s="26">
        <f t="shared" ca="1" si="9"/>
        <v>0</v>
      </c>
      <c r="O120" s="22" t="str">
        <f ca="1">IF(E120=0,IF(K120&gt;0,"Cluster sans capacite provisionnee","n/a"),IF(OR(M120&gt;=Clusters_ROKS!$AC$5,N120&gt;=Clusters_ROKS!$AC$5),"Seuil depasse","OK"))</f>
        <v>OK</v>
      </c>
      <c r="P120" s="25">
        <f t="shared" ca="1" si="10"/>
        <v>0</v>
      </c>
      <c r="Q120" s="25">
        <f t="shared" ca="1" si="11"/>
        <v>0</v>
      </c>
      <c r="R120" s="24">
        <f ca="1">IF(AND(P120=0,Q120=0),0,IFERROR(MAX(ROUNDUP(P120/INDEX(tblClusters[vCPU / noeud (deduit)],MATCH($B120,tblClusters[Cluster],0)),0),ROUNDUP(Q120/INDEX(tblClusters[RAM / noeud - Go (deduit)],MATCH($B120,tblClusters[Cluster],0)),0)),"Flavor a definir"))</f>
        <v>0</v>
      </c>
    </row>
    <row r="121" spans="1:18" x14ac:dyDescent="0.2">
      <c r="A121" s="38">
        <v>46631</v>
      </c>
      <c r="B121" s="21" t="s">
        <v>173</v>
      </c>
      <c r="C121" s="28" t="str">
        <f>IFERROR(INDEX(tblClusters[Utilisation],MATCH($B121,tblClusters[Cluster],0)),"")</f>
        <v>LATAM SECRET PROD</v>
      </c>
      <c r="D121" s="28" t="str">
        <f>IFERROR(INDEX(tblClusters[Type (deduit)],MATCH($B121,tblClusters[Cluster],0)),"")</f>
        <v>Dedie</v>
      </c>
      <c r="E121" s="24">
        <f>IFERROR(INDEX(tblClusters[CPU max (cores)],MATCH($B121,tblClusters[Cluster],0)),0)</f>
        <v>48</v>
      </c>
      <c r="F121" s="24">
        <f>IFERROR(INDEX(tblClusters[RAM max (Go)],MATCH($B121,tblClusters[Cluster],0)),0)</f>
        <v>240</v>
      </c>
      <c r="G121" s="24">
        <f>IFERROR(INDEX(tblClusters[Charge existante CPU hors migration],MATCH($B121,tblClusters[Cluster],0)),0)</f>
        <v>0</v>
      </c>
      <c r="H121" s="24">
        <f>IFERROR(INDEX(tblClusters[Charge existante RAM hors migration (Go)],MATCH($B121,tblClusters[Cluster],0)),0)</f>
        <v>0</v>
      </c>
      <c r="I121" s="24">
        <f ca="1">SUMIFS(tblApplications[CPU cible ROKS],tblApplications[Cluster ROKS cible (auto)],$B121,tblApplications[Mois de bascule prevu],"&lt;="&amp;EOMONTH($A121,0),tblApplications[Inclus projection O/N],"O")</f>
        <v>0</v>
      </c>
      <c r="J121" s="24">
        <f ca="1">SUMIFS(tblApplications[RAM cible ROKS],tblApplications[Cluster ROKS cible (auto)],$B121,tblApplications[Mois de bascule prevu],"&lt;="&amp;EOMONTH($A121,0),tblApplications[Inclus projection O/N],"O")</f>
        <v>0</v>
      </c>
      <c r="K121" s="25">
        <f t="shared" ca="1" si="6"/>
        <v>0</v>
      </c>
      <c r="L121" s="25">
        <f t="shared" ca="1" si="7"/>
        <v>0</v>
      </c>
      <c r="M121" s="26">
        <f t="shared" ca="1" si="8"/>
        <v>0</v>
      </c>
      <c r="N121" s="26">
        <f t="shared" ca="1" si="9"/>
        <v>0</v>
      </c>
      <c r="O121" s="22" t="str">
        <f ca="1">IF(E121=0,IF(K121&gt;0,"Cluster sans capacite provisionnee","n/a"),IF(OR(M121&gt;=Clusters_ROKS!$AC$5,N121&gt;=Clusters_ROKS!$AC$5),"Seuil depasse","OK"))</f>
        <v>OK</v>
      </c>
      <c r="P121" s="25">
        <f t="shared" ca="1" si="10"/>
        <v>0</v>
      </c>
      <c r="Q121" s="25">
        <f t="shared" ca="1" si="11"/>
        <v>0</v>
      </c>
      <c r="R121" s="24">
        <f ca="1">IF(AND(P121=0,Q121=0),0,IFERROR(MAX(ROUNDUP(P121/INDEX(tblClusters[vCPU / noeud (deduit)],MATCH($B121,tblClusters[Cluster],0)),0),ROUNDUP(Q121/INDEX(tblClusters[RAM / noeud - Go (deduit)],MATCH($B121,tblClusters[Cluster],0)),0)),"Flavor a definir"))</f>
        <v>0</v>
      </c>
    </row>
    <row r="122" spans="1:18" x14ac:dyDescent="0.2">
      <c r="A122" s="38">
        <v>46661</v>
      </c>
      <c r="B122" s="21" t="s">
        <v>173</v>
      </c>
      <c r="C122" s="28" t="str">
        <f>IFERROR(INDEX(tblClusters[Utilisation],MATCH($B122,tblClusters[Cluster],0)),"")</f>
        <v>LATAM SECRET PROD</v>
      </c>
      <c r="D122" s="28" t="str">
        <f>IFERROR(INDEX(tblClusters[Type (deduit)],MATCH($B122,tblClusters[Cluster],0)),"")</f>
        <v>Dedie</v>
      </c>
      <c r="E122" s="24">
        <f>IFERROR(INDEX(tblClusters[CPU max (cores)],MATCH($B122,tblClusters[Cluster],0)),0)</f>
        <v>48</v>
      </c>
      <c r="F122" s="24">
        <f>IFERROR(INDEX(tblClusters[RAM max (Go)],MATCH($B122,tblClusters[Cluster],0)),0)</f>
        <v>240</v>
      </c>
      <c r="G122" s="24">
        <f>IFERROR(INDEX(tblClusters[Charge existante CPU hors migration],MATCH($B122,tblClusters[Cluster],0)),0)</f>
        <v>0</v>
      </c>
      <c r="H122" s="24">
        <f>IFERROR(INDEX(tblClusters[Charge existante RAM hors migration (Go)],MATCH($B122,tblClusters[Cluster],0)),0)</f>
        <v>0</v>
      </c>
      <c r="I122" s="24">
        <f ca="1">SUMIFS(tblApplications[CPU cible ROKS],tblApplications[Cluster ROKS cible (auto)],$B122,tblApplications[Mois de bascule prevu],"&lt;="&amp;EOMONTH($A122,0),tblApplications[Inclus projection O/N],"O")</f>
        <v>0</v>
      </c>
      <c r="J122" s="24">
        <f ca="1">SUMIFS(tblApplications[RAM cible ROKS],tblApplications[Cluster ROKS cible (auto)],$B122,tblApplications[Mois de bascule prevu],"&lt;="&amp;EOMONTH($A122,0),tblApplications[Inclus projection O/N],"O")</f>
        <v>0</v>
      </c>
      <c r="K122" s="25">
        <f t="shared" ca="1" si="6"/>
        <v>0</v>
      </c>
      <c r="L122" s="25">
        <f t="shared" ca="1" si="7"/>
        <v>0</v>
      </c>
      <c r="M122" s="26">
        <f t="shared" ca="1" si="8"/>
        <v>0</v>
      </c>
      <c r="N122" s="26">
        <f t="shared" ca="1" si="9"/>
        <v>0</v>
      </c>
      <c r="O122" s="22" t="str">
        <f ca="1">IF(E122=0,IF(K122&gt;0,"Cluster sans capacite provisionnee","n/a"),IF(OR(M122&gt;=Clusters_ROKS!$AC$5,N122&gt;=Clusters_ROKS!$AC$5),"Seuil depasse","OK"))</f>
        <v>OK</v>
      </c>
      <c r="P122" s="25">
        <f t="shared" ca="1" si="10"/>
        <v>0</v>
      </c>
      <c r="Q122" s="25">
        <f t="shared" ca="1" si="11"/>
        <v>0</v>
      </c>
      <c r="R122" s="24">
        <f ca="1">IF(AND(P122=0,Q122=0),0,IFERROR(MAX(ROUNDUP(P122/INDEX(tblClusters[vCPU / noeud (deduit)],MATCH($B122,tblClusters[Cluster],0)),0),ROUNDUP(Q122/INDEX(tblClusters[RAM / noeud - Go (deduit)],MATCH($B122,tblClusters[Cluster],0)),0)),"Flavor a definir"))</f>
        <v>0</v>
      </c>
    </row>
    <row r="123" spans="1:18" x14ac:dyDescent="0.2">
      <c r="A123" s="38">
        <v>46692</v>
      </c>
      <c r="B123" s="21" t="s">
        <v>173</v>
      </c>
      <c r="C123" s="28" t="str">
        <f>IFERROR(INDEX(tblClusters[Utilisation],MATCH($B123,tblClusters[Cluster],0)),"")</f>
        <v>LATAM SECRET PROD</v>
      </c>
      <c r="D123" s="28" t="str">
        <f>IFERROR(INDEX(tblClusters[Type (deduit)],MATCH($B123,tblClusters[Cluster],0)),"")</f>
        <v>Dedie</v>
      </c>
      <c r="E123" s="24">
        <f>IFERROR(INDEX(tblClusters[CPU max (cores)],MATCH($B123,tblClusters[Cluster],0)),0)</f>
        <v>48</v>
      </c>
      <c r="F123" s="24">
        <f>IFERROR(INDEX(tblClusters[RAM max (Go)],MATCH($B123,tblClusters[Cluster],0)),0)</f>
        <v>240</v>
      </c>
      <c r="G123" s="24">
        <f>IFERROR(INDEX(tblClusters[Charge existante CPU hors migration],MATCH($B123,tblClusters[Cluster],0)),0)</f>
        <v>0</v>
      </c>
      <c r="H123" s="24">
        <f>IFERROR(INDEX(tblClusters[Charge existante RAM hors migration (Go)],MATCH($B123,tblClusters[Cluster],0)),0)</f>
        <v>0</v>
      </c>
      <c r="I123" s="24">
        <f ca="1">SUMIFS(tblApplications[CPU cible ROKS],tblApplications[Cluster ROKS cible (auto)],$B123,tblApplications[Mois de bascule prevu],"&lt;="&amp;EOMONTH($A123,0),tblApplications[Inclus projection O/N],"O")</f>
        <v>0</v>
      </c>
      <c r="J123" s="24">
        <f ca="1">SUMIFS(tblApplications[RAM cible ROKS],tblApplications[Cluster ROKS cible (auto)],$B123,tblApplications[Mois de bascule prevu],"&lt;="&amp;EOMONTH($A123,0),tblApplications[Inclus projection O/N],"O")</f>
        <v>0</v>
      </c>
      <c r="K123" s="25">
        <f t="shared" ca="1" si="6"/>
        <v>0</v>
      </c>
      <c r="L123" s="25">
        <f t="shared" ca="1" si="7"/>
        <v>0</v>
      </c>
      <c r="M123" s="26">
        <f t="shared" ca="1" si="8"/>
        <v>0</v>
      </c>
      <c r="N123" s="26">
        <f t="shared" ca="1" si="9"/>
        <v>0</v>
      </c>
      <c r="O123" s="22" t="str">
        <f ca="1">IF(E123=0,IF(K123&gt;0,"Cluster sans capacite provisionnee","n/a"),IF(OR(M123&gt;=Clusters_ROKS!$AC$5,N123&gt;=Clusters_ROKS!$AC$5),"Seuil depasse","OK"))</f>
        <v>OK</v>
      </c>
      <c r="P123" s="25">
        <f t="shared" ca="1" si="10"/>
        <v>0</v>
      </c>
      <c r="Q123" s="25">
        <f t="shared" ca="1" si="11"/>
        <v>0</v>
      </c>
      <c r="R123" s="24">
        <f ca="1">IF(AND(P123=0,Q123=0),0,IFERROR(MAX(ROUNDUP(P123/INDEX(tblClusters[vCPU / noeud (deduit)],MATCH($B123,tblClusters[Cluster],0)),0),ROUNDUP(Q123/INDEX(tblClusters[RAM / noeud - Go (deduit)],MATCH($B123,tblClusters[Cluster],0)),0)),"Flavor a definir"))</f>
        <v>0</v>
      </c>
    </row>
    <row r="124" spans="1:18" x14ac:dyDescent="0.2">
      <c r="A124" s="38">
        <v>46722</v>
      </c>
      <c r="B124" s="21" t="s">
        <v>173</v>
      </c>
      <c r="C124" s="28" t="str">
        <f>IFERROR(INDEX(tblClusters[Utilisation],MATCH($B124,tblClusters[Cluster],0)),"")</f>
        <v>LATAM SECRET PROD</v>
      </c>
      <c r="D124" s="28" t="str">
        <f>IFERROR(INDEX(tblClusters[Type (deduit)],MATCH($B124,tblClusters[Cluster],0)),"")</f>
        <v>Dedie</v>
      </c>
      <c r="E124" s="24">
        <f>IFERROR(INDEX(tblClusters[CPU max (cores)],MATCH($B124,tblClusters[Cluster],0)),0)</f>
        <v>48</v>
      </c>
      <c r="F124" s="24">
        <f>IFERROR(INDEX(tblClusters[RAM max (Go)],MATCH($B124,tblClusters[Cluster],0)),0)</f>
        <v>240</v>
      </c>
      <c r="G124" s="24">
        <f>IFERROR(INDEX(tblClusters[Charge existante CPU hors migration],MATCH($B124,tblClusters[Cluster],0)),0)</f>
        <v>0</v>
      </c>
      <c r="H124" s="24">
        <f>IFERROR(INDEX(tblClusters[Charge existante RAM hors migration (Go)],MATCH($B124,tblClusters[Cluster],0)),0)</f>
        <v>0</v>
      </c>
      <c r="I124" s="24">
        <f ca="1">SUMIFS(tblApplications[CPU cible ROKS],tblApplications[Cluster ROKS cible (auto)],$B124,tblApplications[Mois de bascule prevu],"&lt;="&amp;EOMONTH($A124,0),tblApplications[Inclus projection O/N],"O")</f>
        <v>0</v>
      </c>
      <c r="J124" s="24">
        <f ca="1">SUMIFS(tblApplications[RAM cible ROKS],tblApplications[Cluster ROKS cible (auto)],$B124,tblApplications[Mois de bascule prevu],"&lt;="&amp;EOMONTH($A124,0),tblApplications[Inclus projection O/N],"O")</f>
        <v>0</v>
      </c>
      <c r="K124" s="25">
        <f t="shared" ca="1" si="6"/>
        <v>0</v>
      </c>
      <c r="L124" s="25">
        <f t="shared" ca="1" si="7"/>
        <v>0</v>
      </c>
      <c r="M124" s="26">
        <f t="shared" ca="1" si="8"/>
        <v>0</v>
      </c>
      <c r="N124" s="26">
        <f t="shared" ca="1" si="9"/>
        <v>0</v>
      </c>
      <c r="O124" s="22" t="str">
        <f ca="1">IF(E124=0,IF(K124&gt;0,"Cluster sans capacite provisionnee","n/a"),IF(OR(M124&gt;=Clusters_ROKS!$AC$5,N124&gt;=Clusters_ROKS!$AC$5),"Seuil depasse","OK"))</f>
        <v>OK</v>
      </c>
      <c r="P124" s="25">
        <f t="shared" ca="1" si="10"/>
        <v>0</v>
      </c>
      <c r="Q124" s="25">
        <f t="shared" ca="1" si="11"/>
        <v>0</v>
      </c>
      <c r="R124" s="24">
        <f ca="1">IF(AND(P124=0,Q124=0),0,IFERROR(MAX(ROUNDUP(P124/INDEX(tblClusters[vCPU / noeud (deduit)],MATCH($B124,tblClusters[Cluster],0)),0),ROUNDUP(Q124/INDEX(tblClusters[RAM / noeud - Go (deduit)],MATCH($B124,tblClusters[Cluster],0)),0)),"Flavor a definir"))</f>
        <v>0</v>
      </c>
    </row>
    <row r="125" spans="1:18" x14ac:dyDescent="0.2">
      <c r="A125" s="38">
        <v>46388</v>
      </c>
      <c r="B125" s="21" t="s">
        <v>174</v>
      </c>
      <c r="C125" s="28" t="str">
        <f>IFERROR(INDEX(tblClusters[Utilisation],MATCH($B125,tblClusters[Cluster],0)),"")</f>
        <v>EMEA Non Secret Hors-Prod</v>
      </c>
      <c r="D125" s="28" t="str">
        <f>IFERROR(INDEX(tblClusters[Type (deduit)],MATCH($B125,tblClusters[Cluster],0)),"")</f>
        <v>Dedie</v>
      </c>
      <c r="E125" s="24">
        <f>IFERROR(INDEX(tblClusters[CPU max (cores)],MATCH($B125,tblClusters[Cluster],0)),0)</f>
        <v>48</v>
      </c>
      <c r="F125" s="24">
        <f>IFERROR(INDEX(tblClusters[RAM max (Go)],MATCH($B125,tblClusters[Cluster],0)),0)</f>
        <v>240</v>
      </c>
      <c r="G125" s="24">
        <f>IFERROR(INDEX(tblClusters[Charge existante CPU hors migration],MATCH($B125,tblClusters[Cluster],0)),0)</f>
        <v>0</v>
      </c>
      <c r="H125" s="24">
        <f>IFERROR(INDEX(tblClusters[Charge existante RAM hors migration (Go)],MATCH($B125,tblClusters[Cluster],0)),0)</f>
        <v>0</v>
      </c>
      <c r="I125" s="24">
        <f ca="1">SUMIFS(tblApplications[CPU cible ROKS],tblApplications[Cluster ROKS cible (auto)],$B125,tblApplications[Mois de bascule prevu],"&lt;="&amp;EOMONTH($A125,0),tblApplications[Inclus projection O/N],"O")</f>
        <v>0</v>
      </c>
      <c r="J125" s="24">
        <f ca="1">SUMIFS(tblApplications[RAM cible ROKS],tblApplications[Cluster ROKS cible (auto)],$B125,tblApplications[Mois de bascule prevu],"&lt;="&amp;EOMONTH($A125,0),tblApplications[Inclus projection O/N],"O")</f>
        <v>0</v>
      </c>
      <c r="K125" s="25">
        <f t="shared" ca="1" si="6"/>
        <v>0</v>
      </c>
      <c r="L125" s="25">
        <f t="shared" ca="1" si="7"/>
        <v>0</v>
      </c>
      <c r="M125" s="26">
        <f t="shared" ca="1" si="8"/>
        <v>0</v>
      </c>
      <c r="N125" s="26">
        <f t="shared" ca="1" si="9"/>
        <v>0</v>
      </c>
      <c r="O125" s="22" t="str">
        <f ca="1">IF(E125=0,IF(K125&gt;0,"Cluster sans capacite provisionnee","n/a"),IF(OR(M125&gt;=Clusters_ROKS!$AC$5,N125&gt;=Clusters_ROKS!$AC$5),"Seuil depasse","OK"))</f>
        <v>OK</v>
      </c>
      <c r="P125" s="25">
        <f t="shared" ca="1" si="10"/>
        <v>0</v>
      </c>
      <c r="Q125" s="25">
        <f t="shared" ca="1" si="11"/>
        <v>0</v>
      </c>
      <c r="R125" s="24">
        <f ca="1">IF(AND(P125=0,Q125=0),0,IFERROR(MAX(ROUNDUP(P125/INDEX(tblClusters[vCPU / noeud (deduit)],MATCH($B125,tblClusters[Cluster],0)),0),ROUNDUP(Q125/INDEX(tblClusters[RAM / noeud - Go (deduit)],MATCH($B125,tblClusters[Cluster],0)),0)),"Flavor a definir"))</f>
        <v>0</v>
      </c>
    </row>
    <row r="126" spans="1:18" x14ac:dyDescent="0.2">
      <c r="A126" s="38">
        <v>46419</v>
      </c>
      <c r="B126" s="21" t="s">
        <v>174</v>
      </c>
      <c r="C126" s="28" t="str">
        <f>IFERROR(INDEX(tblClusters[Utilisation],MATCH($B126,tblClusters[Cluster],0)),"")</f>
        <v>EMEA Non Secret Hors-Prod</v>
      </c>
      <c r="D126" s="28" t="str">
        <f>IFERROR(INDEX(tblClusters[Type (deduit)],MATCH($B126,tblClusters[Cluster],0)),"")</f>
        <v>Dedie</v>
      </c>
      <c r="E126" s="24">
        <f>IFERROR(INDEX(tblClusters[CPU max (cores)],MATCH($B126,tblClusters[Cluster],0)),0)</f>
        <v>48</v>
      </c>
      <c r="F126" s="24">
        <f>IFERROR(INDEX(tblClusters[RAM max (Go)],MATCH($B126,tblClusters[Cluster],0)),0)</f>
        <v>240</v>
      </c>
      <c r="G126" s="24">
        <f>IFERROR(INDEX(tblClusters[Charge existante CPU hors migration],MATCH($B126,tblClusters[Cluster],0)),0)</f>
        <v>0</v>
      </c>
      <c r="H126" s="24">
        <f>IFERROR(INDEX(tblClusters[Charge existante RAM hors migration (Go)],MATCH($B126,tblClusters[Cluster],0)),0)</f>
        <v>0</v>
      </c>
      <c r="I126" s="24">
        <f ca="1">SUMIFS(tblApplications[CPU cible ROKS],tblApplications[Cluster ROKS cible (auto)],$B126,tblApplications[Mois de bascule prevu],"&lt;="&amp;EOMONTH($A126,0),tblApplications[Inclus projection O/N],"O")</f>
        <v>0</v>
      </c>
      <c r="J126" s="24">
        <f ca="1">SUMIFS(tblApplications[RAM cible ROKS],tblApplications[Cluster ROKS cible (auto)],$B126,tblApplications[Mois de bascule prevu],"&lt;="&amp;EOMONTH($A126,0),tblApplications[Inclus projection O/N],"O")</f>
        <v>0</v>
      </c>
      <c r="K126" s="25">
        <f t="shared" ca="1" si="6"/>
        <v>0</v>
      </c>
      <c r="L126" s="25">
        <f t="shared" ca="1" si="7"/>
        <v>0</v>
      </c>
      <c r="M126" s="26">
        <f t="shared" ca="1" si="8"/>
        <v>0</v>
      </c>
      <c r="N126" s="26">
        <f t="shared" ca="1" si="9"/>
        <v>0</v>
      </c>
      <c r="O126" s="22" t="str">
        <f ca="1">IF(E126=0,IF(K126&gt;0,"Cluster sans capacite provisionnee","n/a"),IF(OR(M126&gt;=Clusters_ROKS!$AC$5,N126&gt;=Clusters_ROKS!$AC$5),"Seuil depasse","OK"))</f>
        <v>OK</v>
      </c>
      <c r="P126" s="25">
        <f t="shared" ca="1" si="10"/>
        <v>0</v>
      </c>
      <c r="Q126" s="25">
        <f t="shared" ca="1" si="11"/>
        <v>0</v>
      </c>
      <c r="R126" s="24">
        <f ca="1">IF(AND(P126=0,Q126=0),0,IFERROR(MAX(ROUNDUP(P126/INDEX(tblClusters[vCPU / noeud (deduit)],MATCH($B126,tblClusters[Cluster],0)),0),ROUNDUP(Q126/INDEX(tblClusters[RAM / noeud - Go (deduit)],MATCH($B126,tblClusters[Cluster],0)),0)),"Flavor a definir"))</f>
        <v>0</v>
      </c>
    </row>
    <row r="127" spans="1:18" x14ac:dyDescent="0.2">
      <c r="A127" s="38">
        <v>46447</v>
      </c>
      <c r="B127" s="21" t="s">
        <v>174</v>
      </c>
      <c r="C127" s="28" t="str">
        <f>IFERROR(INDEX(tblClusters[Utilisation],MATCH($B127,tblClusters[Cluster],0)),"")</f>
        <v>EMEA Non Secret Hors-Prod</v>
      </c>
      <c r="D127" s="28" t="str">
        <f>IFERROR(INDEX(tblClusters[Type (deduit)],MATCH($B127,tblClusters[Cluster],0)),"")</f>
        <v>Dedie</v>
      </c>
      <c r="E127" s="24">
        <f>IFERROR(INDEX(tblClusters[CPU max (cores)],MATCH($B127,tblClusters[Cluster],0)),0)</f>
        <v>48</v>
      </c>
      <c r="F127" s="24">
        <f>IFERROR(INDEX(tblClusters[RAM max (Go)],MATCH($B127,tblClusters[Cluster],0)),0)</f>
        <v>240</v>
      </c>
      <c r="G127" s="24">
        <f>IFERROR(INDEX(tblClusters[Charge existante CPU hors migration],MATCH($B127,tblClusters[Cluster],0)),0)</f>
        <v>0</v>
      </c>
      <c r="H127" s="24">
        <f>IFERROR(INDEX(tblClusters[Charge existante RAM hors migration (Go)],MATCH($B127,tblClusters[Cluster],0)),0)</f>
        <v>0</v>
      </c>
      <c r="I127" s="24">
        <f ca="1">SUMIFS(tblApplications[CPU cible ROKS],tblApplications[Cluster ROKS cible (auto)],$B127,tblApplications[Mois de bascule prevu],"&lt;="&amp;EOMONTH($A127,0),tblApplications[Inclus projection O/N],"O")</f>
        <v>0</v>
      </c>
      <c r="J127" s="24">
        <f ca="1">SUMIFS(tblApplications[RAM cible ROKS],tblApplications[Cluster ROKS cible (auto)],$B127,tblApplications[Mois de bascule prevu],"&lt;="&amp;EOMONTH($A127,0),tblApplications[Inclus projection O/N],"O")</f>
        <v>0</v>
      </c>
      <c r="K127" s="25">
        <f t="shared" ca="1" si="6"/>
        <v>0</v>
      </c>
      <c r="L127" s="25">
        <f t="shared" ca="1" si="7"/>
        <v>0</v>
      </c>
      <c r="M127" s="26">
        <f t="shared" ca="1" si="8"/>
        <v>0</v>
      </c>
      <c r="N127" s="26">
        <f t="shared" ca="1" si="9"/>
        <v>0</v>
      </c>
      <c r="O127" s="22" t="str">
        <f ca="1">IF(E127=0,IF(K127&gt;0,"Cluster sans capacite provisionnee","n/a"),IF(OR(M127&gt;=Clusters_ROKS!$AC$5,N127&gt;=Clusters_ROKS!$AC$5),"Seuil depasse","OK"))</f>
        <v>OK</v>
      </c>
      <c r="P127" s="25">
        <f t="shared" ca="1" si="10"/>
        <v>0</v>
      </c>
      <c r="Q127" s="25">
        <f t="shared" ca="1" si="11"/>
        <v>0</v>
      </c>
      <c r="R127" s="24">
        <f ca="1">IF(AND(P127=0,Q127=0),0,IFERROR(MAX(ROUNDUP(P127/INDEX(tblClusters[vCPU / noeud (deduit)],MATCH($B127,tblClusters[Cluster],0)),0),ROUNDUP(Q127/INDEX(tblClusters[RAM / noeud - Go (deduit)],MATCH($B127,tblClusters[Cluster],0)),0)),"Flavor a definir"))</f>
        <v>0</v>
      </c>
    </row>
    <row r="128" spans="1:18" x14ac:dyDescent="0.2">
      <c r="A128" s="38">
        <v>46478</v>
      </c>
      <c r="B128" s="21" t="s">
        <v>174</v>
      </c>
      <c r="C128" s="28" t="str">
        <f>IFERROR(INDEX(tblClusters[Utilisation],MATCH($B128,tblClusters[Cluster],0)),"")</f>
        <v>EMEA Non Secret Hors-Prod</v>
      </c>
      <c r="D128" s="28" t="str">
        <f>IFERROR(INDEX(tblClusters[Type (deduit)],MATCH($B128,tblClusters[Cluster],0)),"")</f>
        <v>Dedie</v>
      </c>
      <c r="E128" s="24">
        <f>IFERROR(INDEX(tblClusters[CPU max (cores)],MATCH($B128,tblClusters[Cluster],0)),0)</f>
        <v>48</v>
      </c>
      <c r="F128" s="24">
        <f>IFERROR(INDEX(tblClusters[RAM max (Go)],MATCH($B128,tblClusters[Cluster],0)),0)</f>
        <v>240</v>
      </c>
      <c r="G128" s="24">
        <f>IFERROR(INDEX(tblClusters[Charge existante CPU hors migration],MATCH($B128,tblClusters[Cluster],0)),0)</f>
        <v>0</v>
      </c>
      <c r="H128" s="24">
        <f>IFERROR(INDEX(tblClusters[Charge existante RAM hors migration (Go)],MATCH($B128,tblClusters[Cluster],0)),0)</f>
        <v>0</v>
      </c>
      <c r="I128" s="24">
        <f ca="1">SUMIFS(tblApplications[CPU cible ROKS],tblApplications[Cluster ROKS cible (auto)],$B128,tblApplications[Mois de bascule prevu],"&lt;="&amp;EOMONTH($A128,0),tblApplications[Inclus projection O/N],"O")</f>
        <v>0</v>
      </c>
      <c r="J128" s="24">
        <f ca="1">SUMIFS(tblApplications[RAM cible ROKS],tblApplications[Cluster ROKS cible (auto)],$B128,tblApplications[Mois de bascule prevu],"&lt;="&amp;EOMONTH($A128,0),tblApplications[Inclus projection O/N],"O")</f>
        <v>0</v>
      </c>
      <c r="K128" s="25">
        <f t="shared" ca="1" si="6"/>
        <v>0</v>
      </c>
      <c r="L128" s="25">
        <f t="shared" ca="1" si="7"/>
        <v>0</v>
      </c>
      <c r="M128" s="26">
        <f t="shared" ca="1" si="8"/>
        <v>0</v>
      </c>
      <c r="N128" s="26">
        <f t="shared" ca="1" si="9"/>
        <v>0</v>
      </c>
      <c r="O128" s="22" t="str">
        <f ca="1">IF(E128=0,IF(K128&gt;0,"Cluster sans capacite provisionnee","n/a"),IF(OR(M128&gt;=Clusters_ROKS!$AC$5,N128&gt;=Clusters_ROKS!$AC$5),"Seuil depasse","OK"))</f>
        <v>OK</v>
      </c>
      <c r="P128" s="25">
        <f t="shared" ca="1" si="10"/>
        <v>0</v>
      </c>
      <c r="Q128" s="25">
        <f t="shared" ca="1" si="11"/>
        <v>0</v>
      </c>
      <c r="R128" s="24">
        <f ca="1">IF(AND(P128=0,Q128=0),0,IFERROR(MAX(ROUNDUP(P128/INDEX(tblClusters[vCPU / noeud (deduit)],MATCH($B128,tblClusters[Cluster],0)),0),ROUNDUP(Q128/INDEX(tblClusters[RAM / noeud - Go (deduit)],MATCH($B128,tblClusters[Cluster],0)),0)),"Flavor a definir"))</f>
        <v>0</v>
      </c>
    </row>
    <row r="129" spans="1:18" x14ac:dyDescent="0.2">
      <c r="A129" s="38">
        <v>46508</v>
      </c>
      <c r="B129" s="21" t="s">
        <v>174</v>
      </c>
      <c r="C129" s="28" t="str">
        <f>IFERROR(INDEX(tblClusters[Utilisation],MATCH($B129,tblClusters[Cluster],0)),"")</f>
        <v>EMEA Non Secret Hors-Prod</v>
      </c>
      <c r="D129" s="28" t="str">
        <f>IFERROR(INDEX(tblClusters[Type (deduit)],MATCH($B129,tblClusters[Cluster],0)),"")</f>
        <v>Dedie</v>
      </c>
      <c r="E129" s="24">
        <f>IFERROR(INDEX(tblClusters[CPU max (cores)],MATCH($B129,tblClusters[Cluster],0)),0)</f>
        <v>48</v>
      </c>
      <c r="F129" s="24">
        <f>IFERROR(INDEX(tblClusters[RAM max (Go)],MATCH($B129,tblClusters[Cluster],0)),0)</f>
        <v>240</v>
      </c>
      <c r="G129" s="24">
        <f>IFERROR(INDEX(tblClusters[Charge existante CPU hors migration],MATCH($B129,tblClusters[Cluster],0)),0)</f>
        <v>0</v>
      </c>
      <c r="H129" s="24">
        <f>IFERROR(INDEX(tblClusters[Charge existante RAM hors migration (Go)],MATCH($B129,tblClusters[Cluster],0)),0)</f>
        <v>0</v>
      </c>
      <c r="I129" s="24">
        <f ca="1">SUMIFS(tblApplications[CPU cible ROKS],tblApplications[Cluster ROKS cible (auto)],$B129,tblApplications[Mois de bascule prevu],"&lt;="&amp;EOMONTH($A129,0),tblApplications[Inclus projection O/N],"O")</f>
        <v>0</v>
      </c>
      <c r="J129" s="24">
        <f ca="1">SUMIFS(tblApplications[RAM cible ROKS],tblApplications[Cluster ROKS cible (auto)],$B129,tblApplications[Mois de bascule prevu],"&lt;="&amp;EOMONTH($A129,0),tblApplications[Inclus projection O/N],"O")</f>
        <v>0</v>
      </c>
      <c r="K129" s="25">
        <f t="shared" ca="1" si="6"/>
        <v>0</v>
      </c>
      <c r="L129" s="25">
        <f t="shared" ca="1" si="7"/>
        <v>0</v>
      </c>
      <c r="M129" s="26">
        <f t="shared" ca="1" si="8"/>
        <v>0</v>
      </c>
      <c r="N129" s="26">
        <f t="shared" ca="1" si="9"/>
        <v>0</v>
      </c>
      <c r="O129" s="22" t="str">
        <f ca="1">IF(E129=0,IF(K129&gt;0,"Cluster sans capacite provisionnee","n/a"),IF(OR(M129&gt;=Clusters_ROKS!$AC$5,N129&gt;=Clusters_ROKS!$AC$5),"Seuil depasse","OK"))</f>
        <v>OK</v>
      </c>
      <c r="P129" s="25">
        <f t="shared" ca="1" si="10"/>
        <v>0</v>
      </c>
      <c r="Q129" s="25">
        <f t="shared" ca="1" si="11"/>
        <v>0</v>
      </c>
      <c r="R129" s="24">
        <f ca="1">IF(AND(P129=0,Q129=0),0,IFERROR(MAX(ROUNDUP(P129/INDEX(tblClusters[vCPU / noeud (deduit)],MATCH($B129,tblClusters[Cluster],0)),0),ROUNDUP(Q129/INDEX(tblClusters[RAM / noeud - Go (deduit)],MATCH($B129,tblClusters[Cluster],0)),0)),"Flavor a definir"))</f>
        <v>0</v>
      </c>
    </row>
    <row r="130" spans="1:18" x14ac:dyDescent="0.2">
      <c r="A130" s="38">
        <v>46539</v>
      </c>
      <c r="B130" s="21" t="s">
        <v>174</v>
      </c>
      <c r="C130" s="28" t="str">
        <f>IFERROR(INDEX(tblClusters[Utilisation],MATCH($B130,tblClusters[Cluster],0)),"")</f>
        <v>EMEA Non Secret Hors-Prod</v>
      </c>
      <c r="D130" s="28" t="str">
        <f>IFERROR(INDEX(tblClusters[Type (deduit)],MATCH($B130,tblClusters[Cluster],0)),"")</f>
        <v>Dedie</v>
      </c>
      <c r="E130" s="24">
        <f>IFERROR(INDEX(tblClusters[CPU max (cores)],MATCH($B130,tblClusters[Cluster],0)),0)</f>
        <v>48</v>
      </c>
      <c r="F130" s="24">
        <f>IFERROR(INDEX(tblClusters[RAM max (Go)],MATCH($B130,tblClusters[Cluster],0)),0)</f>
        <v>240</v>
      </c>
      <c r="G130" s="24">
        <f>IFERROR(INDEX(tblClusters[Charge existante CPU hors migration],MATCH($B130,tblClusters[Cluster],0)),0)</f>
        <v>0</v>
      </c>
      <c r="H130" s="24">
        <f>IFERROR(INDEX(tblClusters[Charge existante RAM hors migration (Go)],MATCH($B130,tblClusters[Cluster],0)),0)</f>
        <v>0</v>
      </c>
      <c r="I130" s="24">
        <f ca="1">SUMIFS(tblApplications[CPU cible ROKS],tblApplications[Cluster ROKS cible (auto)],$B130,tblApplications[Mois de bascule prevu],"&lt;="&amp;EOMONTH($A130,0),tblApplications[Inclus projection O/N],"O")</f>
        <v>0</v>
      </c>
      <c r="J130" s="24">
        <f ca="1">SUMIFS(tblApplications[RAM cible ROKS],tblApplications[Cluster ROKS cible (auto)],$B130,tblApplications[Mois de bascule prevu],"&lt;="&amp;EOMONTH($A130,0),tblApplications[Inclus projection O/N],"O")</f>
        <v>0</v>
      </c>
      <c r="K130" s="25">
        <f t="shared" ca="1" si="6"/>
        <v>0</v>
      </c>
      <c r="L130" s="25">
        <f t="shared" ca="1" si="7"/>
        <v>0</v>
      </c>
      <c r="M130" s="26">
        <f t="shared" ca="1" si="8"/>
        <v>0</v>
      </c>
      <c r="N130" s="26">
        <f t="shared" ca="1" si="9"/>
        <v>0</v>
      </c>
      <c r="O130" s="22" t="str">
        <f ca="1">IF(E130=0,IF(K130&gt;0,"Cluster sans capacite provisionnee","n/a"),IF(OR(M130&gt;=Clusters_ROKS!$AC$5,N130&gt;=Clusters_ROKS!$AC$5),"Seuil depasse","OK"))</f>
        <v>OK</v>
      </c>
      <c r="P130" s="25">
        <f t="shared" ca="1" si="10"/>
        <v>0</v>
      </c>
      <c r="Q130" s="25">
        <f t="shared" ca="1" si="11"/>
        <v>0</v>
      </c>
      <c r="R130" s="24">
        <f ca="1">IF(AND(P130=0,Q130=0),0,IFERROR(MAX(ROUNDUP(P130/INDEX(tblClusters[vCPU / noeud (deduit)],MATCH($B130,tblClusters[Cluster],0)),0),ROUNDUP(Q130/INDEX(tblClusters[RAM / noeud - Go (deduit)],MATCH($B130,tblClusters[Cluster],0)),0)),"Flavor a definir"))</f>
        <v>0</v>
      </c>
    </row>
    <row r="131" spans="1:18" x14ac:dyDescent="0.2">
      <c r="A131" s="38">
        <v>46569</v>
      </c>
      <c r="B131" s="21" t="s">
        <v>174</v>
      </c>
      <c r="C131" s="28" t="str">
        <f>IFERROR(INDEX(tblClusters[Utilisation],MATCH($B131,tblClusters[Cluster],0)),"")</f>
        <v>EMEA Non Secret Hors-Prod</v>
      </c>
      <c r="D131" s="28" t="str">
        <f>IFERROR(INDEX(tblClusters[Type (deduit)],MATCH($B131,tblClusters[Cluster],0)),"")</f>
        <v>Dedie</v>
      </c>
      <c r="E131" s="24">
        <f>IFERROR(INDEX(tblClusters[CPU max (cores)],MATCH($B131,tblClusters[Cluster],0)),0)</f>
        <v>48</v>
      </c>
      <c r="F131" s="24">
        <f>IFERROR(INDEX(tblClusters[RAM max (Go)],MATCH($B131,tblClusters[Cluster],0)),0)</f>
        <v>240</v>
      </c>
      <c r="G131" s="24">
        <f>IFERROR(INDEX(tblClusters[Charge existante CPU hors migration],MATCH($B131,tblClusters[Cluster],0)),0)</f>
        <v>0</v>
      </c>
      <c r="H131" s="24">
        <f>IFERROR(INDEX(tblClusters[Charge existante RAM hors migration (Go)],MATCH($B131,tblClusters[Cluster],0)),0)</f>
        <v>0</v>
      </c>
      <c r="I131" s="24">
        <f ca="1">SUMIFS(tblApplications[CPU cible ROKS],tblApplications[Cluster ROKS cible (auto)],$B131,tblApplications[Mois de bascule prevu],"&lt;="&amp;EOMONTH($A131,0),tblApplications[Inclus projection O/N],"O")</f>
        <v>0</v>
      </c>
      <c r="J131" s="24">
        <f ca="1">SUMIFS(tblApplications[RAM cible ROKS],tblApplications[Cluster ROKS cible (auto)],$B131,tblApplications[Mois de bascule prevu],"&lt;="&amp;EOMONTH($A131,0),tblApplications[Inclus projection O/N],"O")</f>
        <v>0</v>
      </c>
      <c r="K131" s="25">
        <f t="shared" ca="1" si="6"/>
        <v>0</v>
      </c>
      <c r="L131" s="25">
        <f t="shared" ca="1" si="7"/>
        <v>0</v>
      </c>
      <c r="M131" s="26">
        <f t="shared" ca="1" si="8"/>
        <v>0</v>
      </c>
      <c r="N131" s="26">
        <f t="shared" ca="1" si="9"/>
        <v>0</v>
      </c>
      <c r="O131" s="22" t="str">
        <f ca="1">IF(E131=0,IF(K131&gt;0,"Cluster sans capacite provisionnee","n/a"),IF(OR(M131&gt;=Clusters_ROKS!$AC$5,N131&gt;=Clusters_ROKS!$AC$5),"Seuil depasse","OK"))</f>
        <v>OK</v>
      </c>
      <c r="P131" s="25">
        <f t="shared" ca="1" si="10"/>
        <v>0</v>
      </c>
      <c r="Q131" s="25">
        <f t="shared" ca="1" si="11"/>
        <v>0</v>
      </c>
      <c r="R131" s="24">
        <f ca="1">IF(AND(P131=0,Q131=0),0,IFERROR(MAX(ROUNDUP(P131/INDEX(tblClusters[vCPU / noeud (deduit)],MATCH($B131,tblClusters[Cluster],0)),0),ROUNDUP(Q131/INDEX(tblClusters[RAM / noeud - Go (deduit)],MATCH($B131,tblClusters[Cluster],0)),0)),"Flavor a definir"))</f>
        <v>0</v>
      </c>
    </row>
    <row r="132" spans="1:18" x14ac:dyDescent="0.2">
      <c r="A132" s="38">
        <v>46600</v>
      </c>
      <c r="B132" s="21" t="s">
        <v>174</v>
      </c>
      <c r="C132" s="28" t="str">
        <f>IFERROR(INDEX(tblClusters[Utilisation],MATCH($B132,tblClusters[Cluster],0)),"")</f>
        <v>EMEA Non Secret Hors-Prod</v>
      </c>
      <c r="D132" s="28" t="str">
        <f>IFERROR(INDEX(tblClusters[Type (deduit)],MATCH($B132,tblClusters[Cluster],0)),"")</f>
        <v>Dedie</v>
      </c>
      <c r="E132" s="24">
        <f>IFERROR(INDEX(tblClusters[CPU max (cores)],MATCH($B132,tblClusters[Cluster],0)),0)</f>
        <v>48</v>
      </c>
      <c r="F132" s="24">
        <f>IFERROR(INDEX(tblClusters[RAM max (Go)],MATCH($B132,tblClusters[Cluster],0)),0)</f>
        <v>240</v>
      </c>
      <c r="G132" s="24">
        <f>IFERROR(INDEX(tblClusters[Charge existante CPU hors migration],MATCH($B132,tblClusters[Cluster],0)),0)</f>
        <v>0</v>
      </c>
      <c r="H132" s="24">
        <f>IFERROR(INDEX(tblClusters[Charge existante RAM hors migration (Go)],MATCH($B132,tblClusters[Cluster],0)),0)</f>
        <v>0</v>
      </c>
      <c r="I132" s="24">
        <f ca="1">SUMIFS(tblApplications[CPU cible ROKS],tblApplications[Cluster ROKS cible (auto)],$B132,tblApplications[Mois de bascule prevu],"&lt;="&amp;EOMONTH($A132,0),tblApplications[Inclus projection O/N],"O")</f>
        <v>0</v>
      </c>
      <c r="J132" s="24">
        <f ca="1">SUMIFS(tblApplications[RAM cible ROKS],tblApplications[Cluster ROKS cible (auto)],$B132,tblApplications[Mois de bascule prevu],"&lt;="&amp;EOMONTH($A132,0),tblApplications[Inclus projection O/N],"O")</f>
        <v>0</v>
      </c>
      <c r="K132" s="25">
        <f t="shared" ca="1" si="6"/>
        <v>0</v>
      </c>
      <c r="L132" s="25">
        <f t="shared" ca="1" si="7"/>
        <v>0</v>
      </c>
      <c r="M132" s="26">
        <f t="shared" ca="1" si="8"/>
        <v>0</v>
      </c>
      <c r="N132" s="26">
        <f t="shared" ca="1" si="9"/>
        <v>0</v>
      </c>
      <c r="O132" s="22" t="str">
        <f ca="1">IF(E132=0,IF(K132&gt;0,"Cluster sans capacite provisionnee","n/a"),IF(OR(M132&gt;=Clusters_ROKS!$AC$5,N132&gt;=Clusters_ROKS!$AC$5),"Seuil depasse","OK"))</f>
        <v>OK</v>
      </c>
      <c r="P132" s="25">
        <f t="shared" ca="1" si="10"/>
        <v>0</v>
      </c>
      <c r="Q132" s="25">
        <f t="shared" ca="1" si="11"/>
        <v>0</v>
      </c>
      <c r="R132" s="24">
        <f ca="1">IF(AND(P132=0,Q132=0),0,IFERROR(MAX(ROUNDUP(P132/INDEX(tblClusters[vCPU / noeud (deduit)],MATCH($B132,tblClusters[Cluster],0)),0),ROUNDUP(Q132/INDEX(tblClusters[RAM / noeud - Go (deduit)],MATCH($B132,tblClusters[Cluster],0)),0)),"Flavor a definir"))</f>
        <v>0</v>
      </c>
    </row>
    <row r="133" spans="1:18" x14ac:dyDescent="0.2">
      <c r="A133" s="38">
        <v>46631</v>
      </c>
      <c r="B133" s="21" t="s">
        <v>174</v>
      </c>
      <c r="C133" s="28" t="str">
        <f>IFERROR(INDEX(tblClusters[Utilisation],MATCH($B133,tblClusters[Cluster],0)),"")</f>
        <v>EMEA Non Secret Hors-Prod</v>
      </c>
      <c r="D133" s="28" t="str">
        <f>IFERROR(INDEX(tblClusters[Type (deduit)],MATCH($B133,tblClusters[Cluster],0)),"")</f>
        <v>Dedie</v>
      </c>
      <c r="E133" s="24">
        <f>IFERROR(INDEX(tblClusters[CPU max (cores)],MATCH($B133,tblClusters[Cluster],0)),0)</f>
        <v>48</v>
      </c>
      <c r="F133" s="24">
        <f>IFERROR(INDEX(tblClusters[RAM max (Go)],MATCH($B133,tblClusters[Cluster],0)),0)</f>
        <v>240</v>
      </c>
      <c r="G133" s="24">
        <f>IFERROR(INDEX(tblClusters[Charge existante CPU hors migration],MATCH($B133,tblClusters[Cluster],0)),0)</f>
        <v>0</v>
      </c>
      <c r="H133" s="24">
        <f>IFERROR(INDEX(tblClusters[Charge existante RAM hors migration (Go)],MATCH($B133,tblClusters[Cluster],0)),0)</f>
        <v>0</v>
      </c>
      <c r="I133" s="24">
        <f ca="1">SUMIFS(tblApplications[CPU cible ROKS],tblApplications[Cluster ROKS cible (auto)],$B133,tblApplications[Mois de bascule prevu],"&lt;="&amp;EOMONTH($A133,0),tblApplications[Inclus projection O/N],"O")</f>
        <v>0</v>
      </c>
      <c r="J133" s="24">
        <f ca="1">SUMIFS(tblApplications[RAM cible ROKS],tblApplications[Cluster ROKS cible (auto)],$B133,tblApplications[Mois de bascule prevu],"&lt;="&amp;EOMONTH($A133,0),tblApplications[Inclus projection O/N],"O")</f>
        <v>0</v>
      </c>
      <c r="K133" s="25">
        <f t="shared" ref="K133:K196" ca="1" si="12">G133+I133</f>
        <v>0</v>
      </c>
      <c r="L133" s="25">
        <f t="shared" ref="L133:L196" ca="1" si="13">H133+J133</f>
        <v>0</v>
      </c>
      <c r="M133" s="26">
        <f t="shared" ref="M133:M196" ca="1" si="14">IF(E133=0,"",K133/E133)</f>
        <v>0</v>
      </c>
      <c r="N133" s="26">
        <f t="shared" ref="N133:N196" ca="1" si="15">IF(F133=0,"",L133/F133)</f>
        <v>0</v>
      </c>
      <c r="O133" s="22" t="str">
        <f ca="1">IF(E133=0,IF(K133&gt;0,"Cluster sans capacite provisionnee","n/a"),IF(OR(M133&gt;=Clusters_ROKS!$AC$5,N133&gt;=Clusters_ROKS!$AC$5),"Seuil depasse","OK"))</f>
        <v>OK</v>
      </c>
      <c r="P133" s="25">
        <f t="shared" ref="P133:P196" ca="1" si="16">MAX(0,K133-E133)</f>
        <v>0</v>
      </c>
      <c r="Q133" s="25">
        <f t="shared" ref="Q133:Q196" ca="1" si="17">MAX(0,L133-F133)</f>
        <v>0</v>
      </c>
      <c r="R133" s="24">
        <f ca="1">IF(AND(P133=0,Q133=0),0,IFERROR(MAX(ROUNDUP(P133/INDEX(tblClusters[vCPU / noeud (deduit)],MATCH($B133,tblClusters[Cluster],0)),0),ROUNDUP(Q133/INDEX(tblClusters[RAM / noeud - Go (deduit)],MATCH($B133,tblClusters[Cluster],0)),0)),"Flavor a definir"))</f>
        <v>0</v>
      </c>
    </row>
    <row r="134" spans="1:18" x14ac:dyDescent="0.2">
      <c r="A134" s="38">
        <v>46661</v>
      </c>
      <c r="B134" s="21" t="s">
        <v>174</v>
      </c>
      <c r="C134" s="28" t="str">
        <f>IFERROR(INDEX(tblClusters[Utilisation],MATCH($B134,tblClusters[Cluster],0)),"")</f>
        <v>EMEA Non Secret Hors-Prod</v>
      </c>
      <c r="D134" s="28" t="str">
        <f>IFERROR(INDEX(tblClusters[Type (deduit)],MATCH($B134,tblClusters[Cluster],0)),"")</f>
        <v>Dedie</v>
      </c>
      <c r="E134" s="24">
        <f>IFERROR(INDEX(tblClusters[CPU max (cores)],MATCH($B134,tblClusters[Cluster],0)),0)</f>
        <v>48</v>
      </c>
      <c r="F134" s="24">
        <f>IFERROR(INDEX(tblClusters[RAM max (Go)],MATCH($B134,tblClusters[Cluster],0)),0)</f>
        <v>240</v>
      </c>
      <c r="G134" s="24">
        <f>IFERROR(INDEX(tblClusters[Charge existante CPU hors migration],MATCH($B134,tblClusters[Cluster],0)),0)</f>
        <v>0</v>
      </c>
      <c r="H134" s="24">
        <f>IFERROR(INDEX(tblClusters[Charge existante RAM hors migration (Go)],MATCH($B134,tblClusters[Cluster],0)),0)</f>
        <v>0</v>
      </c>
      <c r="I134" s="24">
        <f ca="1">SUMIFS(tblApplications[CPU cible ROKS],tblApplications[Cluster ROKS cible (auto)],$B134,tblApplications[Mois de bascule prevu],"&lt;="&amp;EOMONTH($A134,0),tblApplications[Inclus projection O/N],"O")</f>
        <v>0</v>
      </c>
      <c r="J134" s="24">
        <f ca="1">SUMIFS(tblApplications[RAM cible ROKS],tblApplications[Cluster ROKS cible (auto)],$B134,tblApplications[Mois de bascule prevu],"&lt;="&amp;EOMONTH($A134,0),tblApplications[Inclus projection O/N],"O")</f>
        <v>0</v>
      </c>
      <c r="K134" s="25">
        <f t="shared" ca="1" si="12"/>
        <v>0</v>
      </c>
      <c r="L134" s="25">
        <f t="shared" ca="1" si="13"/>
        <v>0</v>
      </c>
      <c r="M134" s="26">
        <f t="shared" ca="1" si="14"/>
        <v>0</v>
      </c>
      <c r="N134" s="26">
        <f t="shared" ca="1" si="15"/>
        <v>0</v>
      </c>
      <c r="O134" s="22" t="str">
        <f ca="1">IF(E134=0,IF(K134&gt;0,"Cluster sans capacite provisionnee","n/a"),IF(OR(M134&gt;=Clusters_ROKS!$AC$5,N134&gt;=Clusters_ROKS!$AC$5),"Seuil depasse","OK"))</f>
        <v>OK</v>
      </c>
      <c r="P134" s="25">
        <f t="shared" ca="1" si="16"/>
        <v>0</v>
      </c>
      <c r="Q134" s="25">
        <f t="shared" ca="1" si="17"/>
        <v>0</v>
      </c>
      <c r="R134" s="24">
        <f ca="1">IF(AND(P134=0,Q134=0),0,IFERROR(MAX(ROUNDUP(P134/INDEX(tblClusters[vCPU / noeud (deduit)],MATCH($B134,tblClusters[Cluster],0)),0),ROUNDUP(Q134/INDEX(tblClusters[RAM / noeud - Go (deduit)],MATCH($B134,tblClusters[Cluster],0)),0)),"Flavor a definir"))</f>
        <v>0</v>
      </c>
    </row>
    <row r="135" spans="1:18" x14ac:dyDescent="0.2">
      <c r="A135" s="38">
        <v>46692</v>
      </c>
      <c r="B135" s="21" t="s">
        <v>174</v>
      </c>
      <c r="C135" s="28" t="str">
        <f>IFERROR(INDEX(tblClusters[Utilisation],MATCH($B135,tblClusters[Cluster],0)),"")</f>
        <v>EMEA Non Secret Hors-Prod</v>
      </c>
      <c r="D135" s="28" t="str">
        <f>IFERROR(INDEX(tblClusters[Type (deduit)],MATCH($B135,tblClusters[Cluster],0)),"")</f>
        <v>Dedie</v>
      </c>
      <c r="E135" s="24">
        <f>IFERROR(INDEX(tblClusters[CPU max (cores)],MATCH($B135,tblClusters[Cluster],0)),0)</f>
        <v>48</v>
      </c>
      <c r="F135" s="24">
        <f>IFERROR(INDEX(tblClusters[RAM max (Go)],MATCH($B135,tblClusters[Cluster],0)),0)</f>
        <v>240</v>
      </c>
      <c r="G135" s="24">
        <f>IFERROR(INDEX(tblClusters[Charge existante CPU hors migration],MATCH($B135,tblClusters[Cluster],0)),0)</f>
        <v>0</v>
      </c>
      <c r="H135" s="24">
        <f>IFERROR(INDEX(tblClusters[Charge existante RAM hors migration (Go)],MATCH($B135,tblClusters[Cluster],0)),0)</f>
        <v>0</v>
      </c>
      <c r="I135" s="24">
        <f ca="1">SUMIFS(tblApplications[CPU cible ROKS],tblApplications[Cluster ROKS cible (auto)],$B135,tblApplications[Mois de bascule prevu],"&lt;="&amp;EOMONTH($A135,0),tblApplications[Inclus projection O/N],"O")</f>
        <v>0</v>
      </c>
      <c r="J135" s="24">
        <f ca="1">SUMIFS(tblApplications[RAM cible ROKS],tblApplications[Cluster ROKS cible (auto)],$B135,tblApplications[Mois de bascule prevu],"&lt;="&amp;EOMONTH($A135,0),tblApplications[Inclus projection O/N],"O")</f>
        <v>0</v>
      </c>
      <c r="K135" s="25">
        <f t="shared" ca="1" si="12"/>
        <v>0</v>
      </c>
      <c r="L135" s="25">
        <f t="shared" ca="1" si="13"/>
        <v>0</v>
      </c>
      <c r="M135" s="26">
        <f t="shared" ca="1" si="14"/>
        <v>0</v>
      </c>
      <c r="N135" s="26">
        <f t="shared" ca="1" si="15"/>
        <v>0</v>
      </c>
      <c r="O135" s="22" t="str">
        <f ca="1">IF(E135=0,IF(K135&gt;0,"Cluster sans capacite provisionnee","n/a"),IF(OR(M135&gt;=Clusters_ROKS!$AC$5,N135&gt;=Clusters_ROKS!$AC$5),"Seuil depasse","OK"))</f>
        <v>OK</v>
      </c>
      <c r="P135" s="25">
        <f t="shared" ca="1" si="16"/>
        <v>0</v>
      </c>
      <c r="Q135" s="25">
        <f t="shared" ca="1" si="17"/>
        <v>0</v>
      </c>
      <c r="R135" s="24">
        <f ca="1">IF(AND(P135=0,Q135=0),0,IFERROR(MAX(ROUNDUP(P135/INDEX(tblClusters[vCPU / noeud (deduit)],MATCH($B135,tblClusters[Cluster],0)),0),ROUNDUP(Q135/INDEX(tblClusters[RAM / noeud - Go (deduit)],MATCH($B135,tblClusters[Cluster],0)),0)),"Flavor a definir"))</f>
        <v>0</v>
      </c>
    </row>
    <row r="136" spans="1:18" x14ac:dyDescent="0.2">
      <c r="A136" s="38">
        <v>46722</v>
      </c>
      <c r="B136" s="21" t="s">
        <v>174</v>
      </c>
      <c r="C136" s="28" t="str">
        <f>IFERROR(INDEX(tblClusters[Utilisation],MATCH($B136,tblClusters[Cluster],0)),"")</f>
        <v>EMEA Non Secret Hors-Prod</v>
      </c>
      <c r="D136" s="28" t="str">
        <f>IFERROR(INDEX(tblClusters[Type (deduit)],MATCH($B136,tblClusters[Cluster],0)),"")</f>
        <v>Dedie</v>
      </c>
      <c r="E136" s="24">
        <f>IFERROR(INDEX(tblClusters[CPU max (cores)],MATCH($B136,tblClusters[Cluster],0)),0)</f>
        <v>48</v>
      </c>
      <c r="F136" s="24">
        <f>IFERROR(INDEX(tblClusters[RAM max (Go)],MATCH($B136,tblClusters[Cluster],0)),0)</f>
        <v>240</v>
      </c>
      <c r="G136" s="24">
        <f>IFERROR(INDEX(tblClusters[Charge existante CPU hors migration],MATCH($B136,tblClusters[Cluster],0)),0)</f>
        <v>0</v>
      </c>
      <c r="H136" s="24">
        <f>IFERROR(INDEX(tblClusters[Charge existante RAM hors migration (Go)],MATCH($B136,tblClusters[Cluster],0)),0)</f>
        <v>0</v>
      </c>
      <c r="I136" s="24">
        <f ca="1">SUMIFS(tblApplications[CPU cible ROKS],tblApplications[Cluster ROKS cible (auto)],$B136,tblApplications[Mois de bascule prevu],"&lt;="&amp;EOMONTH($A136,0),tblApplications[Inclus projection O/N],"O")</f>
        <v>0</v>
      </c>
      <c r="J136" s="24">
        <f ca="1">SUMIFS(tblApplications[RAM cible ROKS],tblApplications[Cluster ROKS cible (auto)],$B136,tblApplications[Mois de bascule prevu],"&lt;="&amp;EOMONTH($A136,0),tblApplications[Inclus projection O/N],"O")</f>
        <v>0</v>
      </c>
      <c r="K136" s="25">
        <f t="shared" ca="1" si="12"/>
        <v>0</v>
      </c>
      <c r="L136" s="25">
        <f t="shared" ca="1" si="13"/>
        <v>0</v>
      </c>
      <c r="M136" s="26">
        <f t="shared" ca="1" si="14"/>
        <v>0</v>
      </c>
      <c r="N136" s="26">
        <f t="shared" ca="1" si="15"/>
        <v>0</v>
      </c>
      <c r="O136" s="22" t="str">
        <f ca="1">IF(E136=0,IF(K136&gt;0,"Cluster sans capacite provisionnee","n/a"),IF(OR(M136&gt;=Clusters_ROKS!$AC$5,N136&gt;=Clusters_ROKS!$AC$5),"Seuil depasse","OK"))</f>
        <v>OK</v>
      </c>
      <c r="P136" s="25">
        <f t="shared" ca="1" si="16"/>
        <v>0</v>
      </c>
      <c r="Q136" s="25">
        <f t="shared" ca="1" si="17"/>
        <v>0</v>
      </c>
      <c r="R136" s="24">
        <f ca="1">IF(AND(P136=0,Q136=0),0,IFERROR(MAX(ROUNDUP(P136/INDEX(tblClusters[vCPU / noeud (deduit)],MATCH($B136,tblClusters[Cluster],0)),0),ROUNDUP(Q136/INDEX(tblClusters[RAM / noeud - Go (deduit)],MATCH($B136,tblClusters[Cluster],0)),0)),"Flavor a definir"))</f>
        <v>0</v>
      </c>
    </row>
    <row r="137" spans="1:18" x14ac:dyDescent="0.2">
      <c r="A137" s="38">
        <v>46388</v>
      </c>
      <c r="B137" s="21" t="s">
        <v>176</v>
      </c>
      <c r="C137" s="28" t="str">
        <f>IFERROR(INDEX(tblClusters[Utilisation],MATCH($B137,tblClusters[Cluster],0)),"")</f>
        <v>EMEA Non Secret Prod</v>
      </c>
      <c r="D137" s="28" t="str">
        <f>IFERROR(INDEX(tblClusters[Type (deduit)],MATCH($B137,tblClusters[Cluster],0)),"")</f>
        <v>Dedie</v>
      </c>
      <c r="E137" s="24">
        <f>IFERROR(INDEX(tblClusters[CPU max (cores)],MATCH($B137,tblClusters[Cluster],0)),0)</f>
        <v>48</v>
      </c>
      <c r="F137" s="24">
        <f>IFERROR(INDEX(tblClusters[RAM max (Go)],MATCH($B137,tblClusters[Cluster],0)),0)</f>
        <v>240</v>
      </c>
      <c r="G137" s="24">
        <f>IFERROR(INDEX(tblClusters[Charge existante CPU hors migration],MATCH($B137,tblClusters[Cluster],0)),0)</f>
        <v>0</v>
      </c>
      <c r="H137" s="24">
        <f>IFERROR(INDEX(tblClusters[Charge existante RAM hors migration (Go)],MATCH($B137,tblClusters[Cluster],0)),0)</f>
        <v>0</v>
      </c>
      <c r="I137" s="24">
        <f ca="1">SUMIFS(tblApplications[CPU cible ROKS],tblApplications[Cluster ROKS cible (auto)],$B137,tblApplications[Mois de bascule prevu],"&lt;="&amp;EOMONTH($A137,0),tblApplications[Inclus projection O/N],"O")</f>
        <v>0</v>
      </c>
      <c r="J137" s="24">
        <f ca="1">SUMIFS(tblApplications[RAM cible ROKS],tblApplications[Cluster ROKS cible (auto)],$B137,tblApplications[Mois de bascule prevu],"&lt;="&amp;EOMONTH($A137,0),tblApplications[Inclus projection O/N],"O")</f>
        <v>0</v>
      </c>
      <c r="K137" s="25">
        <f t="shared" ca="1" si="12"/>
        <v>0</v>
      </c>
      <c r="L137" s="25">
        <f t="shared" ca="1" si="13"/>
        <v>0</v>
      </c>
      <c r="M137" s="26">
        <f t="shared" ca="1" si="14"/>
        <v>0</v>
      </c>
      <c r="N137" s="26">
        <f t="shared" ca="1" si="15"/>
        <v>0</v>
      </c>
      <c r="O137" s="22" t="str">
        <f ca="1">IF(E137=0,IF(K137&gt;0,"Cluster sans capacite provisionnee","n/a"),IF(OR(M137&gt;=Clusters_ROKS!$AC$5,N137&gt;=Clusters_ROKS!$AC$5),"Seuil depasse","OK"))</f>
        <v>OK</v>
      </c>
      <c r="P137" s="25">
        <f t="shared" ca="1" si="16"/>
        <v>0</v>
      </c>
      <c r="Q137" s="25">
        <f t="shared" ca="1" si="17"/>
        <v>0</v>
      </c>
      <c r="R137" s="24">
        <f ca="1">IF(AND(P137=0,Q137=0),0,IFERROR(MAX(ROUNDUP(P137/INDEX(tblClusters[vCPU / noeud (deduit)],MATCH($B137,tblClusters[Cluster],0)),0),ROUNDUP(Q137/INDEX(tblClusters[RAM / noeud - Go (deduit)],MATCH($B137,tblClusters[Cluster],0)),0)),"Flavor a definir"))</f>
        <v>0</v>
      </c>
    </row>
    <row r="138" spans="1:18" x14ac:dyDescent="0.2">
      <c r="A138" s="38">
        <v>46419</v>
      </c>
      <c r="B138" s="21" t="s">
        <v>176</v>
      </c>
      <c r="C138" s="28" t="str">
        <f>IFERROR(INDEX(tblClusters[Utilisation],MATCH($B138,tblClusters[Cluster],0)),"")</f>
        <v>EMEA Non Secret Prod</v>
      </c>
      <c r="D138" s="28" t="str">
        <f>IFERROR(INDEX(tblClusters[Type (deduit)],MATCH($B138,tblClusters[Cluster],0)),"")</f>
        <v>Dedie</v>
      </c>
      <c r="E138" s="24">
        <f>IFERROR(INDEX(tblClusters[CPU max (cores)],MATCH($B138,tblClusters[Cluster],0)),0)</f>
        <v>48</v>
      </c>
      <c r="F138" s="24">
        <f>IFERROR(INDEX(tblClusters[RAM max (Go)],MATCH($B138,tblClusters[Cluster],0)),0)</f>
        <v>240</v>
      </c>
      <c r="G138" s="24">
        <f>IFERROR(INDEX(tblClusters[Charge existante CPU hors migration],MATCH($B138,tblClusters[Cluster],0)),0)</f>
        <v>0</v>
      </c>
      <c r="H138" s="24">
        <f>IFERROR(INDEX(tblClusters[Charge existante RAM hors migration (Go)],MATCH($B138,tblClusters[Cluster],0)),0)</f>
        <v>0</v>
      </c>
      <c r="I138" s="24">
        <f ca="1">SUMIFS(tblApplications[CPU cible ROKS],tblApplications[Cluster ROKS cible (auto)],$B138,tblApplications[Mois de bascule prevu],"&lt;="&amp;EOMONTH($A138,0),tblApplications[Inclus projection O/N],"O")</f>
        <v>0</v>
      </c>
      <c r="J138" s="24">
        <f ca="1">SUMIFS(tblApplications[RAM cible ROKS],tblApplications[Cluster ROKS cible (auto)],$B138,tblApplications[Mois de bascule prevu],"&lt;="&amp;EOMONTH($A138,0),tblApplications[Inclus projection O/N],"O")</f>
        <v>0</v>
      </c>
      <c r="K138" s="25">
        <f t="shared" ca="1" si="12"/>
        <v>0</v>
      </c>
      <c r="L138" s="25">
        <f t="shared" ca="1" si="13"/>
        <v>0</v>
      </c>
      <c r="M138" s="26">
        <f t="shared" ca="1" si="14"/>
        <v>0</v>
      </c>
      <c r="N138" s="26">
        <f t="shared" ca="1" si="15"/>
        <v>0</v>
      </c>
      <c r="O138" s="22" t="str">
        <f ca="1">IF(E138=0,IF(K138&gt;0,"Cluster sans capacite provisionnee","n/a"),IF(OR(M138&gt;=Clusters_ROKS!$AC$5,N138&gt;=Clusters_ROKS!$AC$5),"Seuil depasse","OK"))</f>
        <v>OK</v>
      </c>
      <c r="P138" s="25">
        <f t="shared" ca="1" si="16"/>
        <v>0</v>
      </c>
      <c r="Q138" s="25">
        <f t="shared" ca="1" si="17"/>
        <v>0</v>
      </c>
      <c r="R138" s="24">
        <f ca="1">IF(AND(P138=0,Q138=0),0,IFERROR(MAX(ROUNDUP(P138/INDEX(tblClusters[vCPU / noeud (deduit)],MATCH($B138,tblClusters[Cluster],0)),0),ROUNDUP(Q138/INDEX(tblClusters[RAM / noeud - Go (deduit)],MATCH($B138,tblClusters[Cluster],0)),0)),"Flavor a definir"))</f>
        <v>0</v>
      </c>
    </row>
    <row r="139" spans="1:18" x14ac:dyDescent="0.2">
      <c r="A139" s="38">
        <v>46447</v>
      </c>
      <c r="B139" s="21" t="s">
        <v>176</v>
      </c>
      <c r="C139" s="28" t="str">
        <f>IFERROR(INDEX(tblClusters[Utilisation],MATCH($B139,tblClusters[Cluster],0)),"")</f>
        <v>EMEA Non Secret Prod</v>
      </c>
      <c r="D139" s="28" t="str">
        <f>IFERROR(INDEX(tblClusters[Type (deduit)],MATCH($B139,tblClusters[Cluster],0)),"")</f>
        <v>Dedie</v>
      </c>
      <c r="E139" s="24">
        <f>IFERROR(INDEX(tblClusters[CPU max (cores)],MATCH($B139,tblClusters[Cluster],0)),0)</f>
        <v>48</v>
      </c>
      <c r="F139" s="24">
        <f>IFERROR(INDEX(tblClusters[RAM max (Go)],MATCH($B139,tblClusters[Cluster],0)),0)</f>
        <v>240</v>
      </c>
      <c r="G139" s="24">
        <f>IFERROR(INDEX(tblClusters[Charge existante CPU hors migration],MATCH($B139,tblClusters[Cluster],0)),0)</f>
        <v>0</v>
      </c>
      <c r="H139" s="24">
        <f>IFERROR(INDEX(tblClusters[Charge existante RAM hors migration (Go)],MATCH($B139,tblClusters[Cluster],0)),0)</f>
        <v>0</v>
      </c>
      <c r="I139" s="24">
        <f ca="1">SUMIFS(tblApplications[CPU cible ROKS],tblApplications[Cluster ROKS cible (auto)],$B139,tblApplications[Mois de bascule prevu],"&lt;="&amp;EOMONTH($A139,0),tblApplications[Inclus projection O/N],"O")</f>
        <v>0</v>
      </c>
      <c r="J139" s="24">
        <f ca="1">SUMIFS(tblApplications[RAM cible ROKS],tblApplications[Cluster ROKS cible (auto)],$B139,tblApplications[Mois de bascule prevu],"&lt;="&amp;EOMONTH($A139,0),tblApplications[Inclus projection O/N],"O")</f>
        <v>0</v>
      </c>
      <c r="K139" s="25">
        <f t="shared" ca="1" si="12"/>
        <v>0</v>
      </c>
      <c r="L139" s="25">
        <f t="shared" ca="1" si="13"/>
        <v>0</v>
      </c>
      <c r="M139" s="26">
        <f t="shared" ca="1" si="14"/>
        <v>0</v>
      </c>
      <c r="N139" s="26">
        <f t="shared" ca="1" si="15"/>
        <v>0</v>
      </c>
      <c r="O139" s="22" t="str">
        <f ca="1">IF(E139=0,IF(K139&gt;0,"Cluster sans capacite provisionnee","n/a"),IF(OR(M139&gt;=Clusters_ROKS!$AC$5,N139&gt;=Clusters_ROKS!$AC$5),"Seuil depasse","OK"))</f>
        <v>OK</v>
      </c>
      <c r="P139" s="25">
        <f t="shared" ca="1" si="16"/>
        <v>0</v>
      </c>
      <c r="Q139" s="25">
        <f t="shared" ca="1" si="17"/>
        <v>0</v>
      </c>
      <c r="R139" s="24">
        <f ca="1">IF(AND(P139=0,Q139=0),0,IFERROR(MAX(ROUNDUP(P139/INDEX(tblClusters[vCPU / noeud (deduit)],MATCH($B139,tblClusters[Cluster],0)),0),ROUNDUP(Q139/INDEX(tblClusters[RAM / noeud - Go (deduit)],MATCH($B139,tblClusters[Cluster],0)),0)),"Flavor a definir"))</f>
        <v>0</v>
      </c>
    </row>
    <row r="140" spans="1:18" x14ac:dyDescent="0.2">
      <c r="A140" s="38">
        <v>46478</v>
      </c>
      <c r="B140" s="21" t="s">
        <v>176</v>
      </c>
      <c r="C140" s="28" t="str">
        <f>IFERROR(INDEX(tblClusters[Utilisation],MATCH($B140,tblClusters[Cluster],0)),"")</f>
        <v>EMEA Non Secret Prod</v>
      </c>
      <c r="D140" s="28" t="str">
        <f>IFERROR(INDEX(tblClusters[Type (deduit)],MATCH($B140,tblClusters[Cluster],0)),"")</f>
        <v>Dedie</v>
      </c>
      <c r="E140" s="24">
        <f>IFERROR(INDEX(tblClusters[CPU max (cores)],MATCH($B140,tblClusters[Cluster],0)),0)</f>
        <v>48</v>
      </c>
      <c r="F140" s="24">
        <f>IFERROR(INDEX(tblClusters[RAM max (Go)],MATCH($B140,tblClusters[Cluster],0)),0)</f>
        <v>240</v>
      </c>
      <c r="G140" s="24">
        <f>IFERROR(INDEX(tblClusters[Charge existante CPU hors migration],MATCH($B140,tblClusters[Cluster],0)),0)</f>
        <v>0</v>
      </c>
      <c r="H140" s="24">
        <f>IFERROR(INDEX(tblClusters[Charge existante RAM hors migration (Go)],MATCH($B140,tblClusters[Cluster],0)),0)</f>
        <v>0</v>
      </c>
      <c r="I140" s="24">
        <f ca="1">SUMIFS(tblApplications[CPU cible ROKS],tblApplications[Cluster ROKS cible (auto)],$B140,tblApplications[Mois de bascule prevu],"&lt;="&amp;EOMONTH($A140,0),tblApplications[Inclus projection O/N],"O")</f>
        <v>0</v>
      </c>
      <c r="J140" s="24">
        <f ca="1">SUMIFS(tblApplications[RAM cible ROKS],tblApplications[Cluster ROKS cible (auto)],$B140,tblApplications[Mois de bascule prevu],"&lt;="&amp;EOMONTH($A140,0),tblApplications[Inclus projection O/N],"O")</f>
        <v>0</v>
      </c>
      <c r="K140" s="25">
        <f t="shared" ca="1" si="12"/>
        <v>0</v>
      </c>
      <c r="L140" s="25">
        <f t="shared" ca="1" si="13"/>
        <v>0</v>
      </c>
      <c r="M140" s="26">
        <f t="shared" ca="1" si="14"/>
        <v>0</v>
      </c>
      <c r="N140" s="26">
        <f t="shared" ca="1" si="15"/>
        <v>0</v>
      </c>
      <c r="O140" s="22" t="str">
        <f ca="1">IF(E140=0,IF(K140&gt;0,"Cluster sans capacite provisionnee","n/a"),IF(OR(M140&gt;=Clusters_ROKS!$AC$5,N140&gt;=Clusters_ROKS!$AC$5),"Seuil depasse","OK"))</f>
        <v>OK</v>
      </c>
      <c r="P140" s="25">
        <f t="shared" ca="1" si="16"/>
        <v>0</v>
      </c>
      <c r="Q140" s="25">
        <f t="shared" ca="1" si="17"/>
        <v>0</v>
      </c>
      <c r="R140" s="24">
        <f ca="1">IF(AND(P140=0,Q140=0),0,IFERROR(MAX(ROUNDUP(P140/INDEX(tblClusters[vCPU / noeud (deduit)],MATCH($B140,tblClusters[Cluster],0)),0),ROUNDUP(Q140/INDEX(tblClusters[RAM / noeud - Go (deduit)],MATCH($B140,tblClusters[Cluster],0)),0)),"Flavor a definir"))</f>
        <v>0</v>
      </c>
    </row>
    <row r="141" spans="1:18" x14ac:dyDescent="0.2">
      <c r="A141" s="38">
        <v>46508</v>
      </c>
      <c r="B141" s="21" t="s">
        <v>176</v>
      </c>
      <c r="C141" s="28" t="str">
        <f>IFERROR(INDEX(tblClusters[Utilisation],MATCH($B141,tblClusters[Cluster],0)),"")</f>
        <v>EMEA Non Secret Prod</v>
      </c>
      <c r="D141" s="28" t="str">
        <f>IFERROR(INDEX(tblClusters[Type (deduit)],MATCH($B141,tblClusters[Cluster],0)),"")</f>
        <v>Dedie</v>
      </c>
      <c r="E141" s="24">
        <f>IFERROR(INDEX(tblClusters[CPU max (cores)],MATCH($B141,tblClusters[Cluster],0)),0)</f>
        <v>48</v>
      </c>
      <c r="F141" s="24">
        <f>IFERROR(INDEX(tblClusters[RAM max (Go)],MATCH($B141,tblClusters[Cluster],0)),0)</f>
        <v>240</v>
      </c>
      <c r="G141" s="24">
        <f>IFERROR(INDEX(tblClusters[Charge existante CPU hors migration],MATCH($B141,tblClusters[Cluster],0)),0)</f>
        <v>0</v>
      </c>
      <c r="H141" s="24">
        <f>IFERROR(INDEX(tblClusters[Charge existante RAM hors migration (Go)],MATCH($B141,tblClusters[Cluster],0)),0)</f>
        <v>0</v>
      </c>
      <c r="I141" s="24">
        <f ca="1">SUMIFS(tblApplications[CPU cible ROKS],tblApplications[Cluster ROKS cible (auto)],$B141,tblApplications[Mois de bascule prevu],"&lt;="&amp;EOMONTH($A141,0),tblApplications[Inclus projection O/N],"O")</f>
        <v>0</v>
      </c>
      <c r="J141" s="24">
        <f ca="1">SUMIFS(tblApplications[RAM cible ROKS],tblApplications[Cluster ROKS cible (auto)],$B141,tblApplications[Mois de bascule prevu],"&lt;="&amp;EOMONTH($A141,0),tblApplications[Inclus projection O/N],"O")</f>
        <v>0</v>
      </c>
      <c r="K141" s="25">
        <f t="shared" ca="1" si="12"/>
        <v>0</v>
      </c>
      <c r="L141" s="25">
        <f t="shared" ca="1" si="13"/>
        <v>0</v>
      </c>
      <c r="M141" s="26">
        <f t="shared" ca="1" si="14"/>
        <v>0</v>
      </c>
      <c r="N141" s="26">
        <f t="shared" ca="1" si="15"/>
        <v>0</v>
      </c>
      <c r="O141" s="22" t="str">
        <f ca="1">IF(E141=0,IF(K141&gt;0,"Cluster sans capacite provisionnee","n/a"),IF(OR(M141&gt;=Clusters_ROKS!$AC$5,N141&gt;=Clusters_ROKS!$AC$5),"Seuil depasse","OK"))</f>
        <v>OK</v>
      </c>
      <c r="P141" s="25">
        <f t="shared" ca="1" si="16"/>
        <v>0</v>
      </c>
      <c r="Q141" s="25">
        <f t="shared" ca="1" si="17"/>
        <v>0</v>
      </c>
      <c r="R141" s="24">
        <f ca="1">IF(AND(P141=0,Q141=0),0,IFERROR(MAX(ROUNDUP(P141/INDEX(tblClusters[vCPU / noeud (deduit)],MATCH($B141,tblClusters[Cluster],0)),0),ROUNDUP(Q141/INDEX(tblClusters[RAM / noeud - Go (deduit)],MATCH($B141,tblClusters[Cluster],0)),0)),"Flavor a definir"))</f>
        <v>0</v>
      </c>
    </row>
    <row r="142" spans="1:18" x14ac:dyDescent="0.2">
      <c r="A142" s="38">
        <v>46539</v>
      </c>
      <c r="B142" s="21" t="s">
        <v>176</v>
      </c>
      <c r="C142" s="28" t="str">
        <f>IFERROR(INDEX(tblClusters[Utilisation],MATCH($B142,tblClusters[Cluster],0)),"")</f>
        <v>EMEA Non Secret Prod</v>
      </c>
      <c r="D142" s="28" t="str">
        <f>IFERROR(INDEX(tblClusters[Type (deduit)],MATCH($B142,tblClusters[Cluster],0)),"")</f>
        <v>Dedie</v>
      </c>
      <c r="E142" s="24">
        <f>IFERROR(INDEX(tblClusters[CPU max (cores)],MATCH($B142,tblClusters[Cluster],0)),0)</f>
        <v>48</v>
      </c>
      <c r="F142" s="24">
        <f>IFERROR(INDEX(tblClusters[RAM max (Go)],MATCH($B142,tblClusters[Cluster],0)),0)</f>
        <v>240</v>
      </c>
      <c r="G142" s="24">
        <f>IFERROR(INDEX(tblClusters[Charge existante CPU hors migration],MATCH($B142,tblClusters[Cluster],0)),0)</f>
        <v>0</v>
      </c>
      <c r="H142" s="24">
        <f>IFERROR(INDEX(tblClusters[Charge existante RAM hors migration (Go)],MATCH($B142,tblClusters[Cluster],0)),0)</f>
        <v>0</v>
      </c>
      <c r="I142" s="24">
        <f ca="1">SUMIFS(tblApplications[CPU cible ROKS],tblApplications[Cluster ROKS cible (auto)],$B142,tblApplications[Mois de bascule prevu],"&lt;="&amp;EOMONTH($A142,0),tblApplications[Inclus projection O/N],"O")</f>
        <v>0</v>
      </c>
      <c r="J142" s="24">
        <f ca="1">SUMIFS(tblApplications[RAM cible ROKS],tblApplications[Cluster ROKS cible (auto)],$B142,tblApplications[Mois de bascule prevu],"&lt;="&amp;EOMONTH($A142,0),tblApplications[Inclus projection O/N],"O")</f>
        <v>0</v>
      </c>
      <c r="K142" s="25">
        <f t="shared" ca="1" si="12"/>
        <v>0</v>
      </c>
      <c r="L142" s="25">
        <f t="shared" ca="1" si="13"/>
        <v>0</v>
      </c>
      <c r="M142" s="26">
        <f t="shared" ca="1" si="14"/>
        <v>0</v>
      </c>
      <c r="N142" s="26">
        <f t="shared" ca="1" si="15"/>
        <v>0</v>
      </c>
      <c r="O142" s="22" t="str">
        <f ca="1">IF(E142=0,IF(K142&gt;0,"Cluster sans capacite provisionnee","n/a"),IF(OR(M142&gt;=Clusters_ROKS!$AC$5,N142&gt;=Clusters_ROKS!$AC$5),"Seuil depasse","OK"))</f>
        <v>OK</v>
      </c>
      <c r="P142" s="25">
        <f t="shared" ca="1" si="16"/>
        <v>0</v>
      </c>
      <c r="Q142" s="25">
        <f t="shared" ca="1" si="17"/>
        <v>0</v>
      </c>
      <c r="R142" s="24">
        <f ca="1">IF(AND(P142=0,Q142=0),0,IFERROR(MAX(ROUNDUP(P142/INDEX(tblClusters[vCPU / noeud (deduit)],MATCH($B142,tblClusters[Cluster],0)),0),ROUNDUP(Q142/INDEX(tblClusters[RAM / noeud - Go (deduit)],MATCH($B142,tblClusters[Cluster],0)),0)),"Flavor a definir"))</f>
        <v>0</v>
      </c>
    </row>
    <row r="143" spans="1:18" x14ac:dyDescent="0.2">
      <c r="A143" s="38">
        <v>46569</v>
      </c>
      <c r="B143" s="21" t="s">
        <v>176</v>
      </c>
      <c r="C143" s="28" t="str">
        <f>IFERROR(INDEX(tblClusters[Utilisation],MATCH($B143,tblClusters[Cluster],0)),"")</f>
        <v>EMEA Non Secret Prod</v>
      </c>
      <c r="D143" s="28" t="str">
        <f>IFERROR(INDEX(tblClusters[Type (deduit)],MATCH($B143,tblClusters[Cluster],0)),"")</f>
        <v>Dedie</v>
      </c>
      <c r="E143" s="24">
        <f>IFERROR(INDEX(tblClusters[CPU max (cores)],MATCH($B143,tblClusters[Cluster],0)),0)</f>
        <v>48</v>
      </c>
      <c r="F143" s="24">
        <f>IFERROR(INDEX(tblClusters[RAM max (Go)],MATCH($B143,tblClusters[Cluster],0)),0)</f>
        <v>240</v>
      </c>
      <c r="G143" s="24">
        <f>IFERROR(INDEX(tblClusters[Charge existante CPU hors migration],MATCH($B143,tblClusters[Cluster],0)),0)</f>
        <v>0</v>
      </c>
      <c r="H143" s="24">
        <f>IFERROR(INDEX(tblClusters[Charge existante RAM hors migration (Go)],MATCH($B143,tblClusters[Cluster],0)),0)</f>
        <v>0</v>
      </c>
      <c r="I143" s="24">
        <f ca="1">SUMIFS(tblApplications[CPU cible ROKS],tblApplications[Cluster ROKS cible (auto)],$B143,tblApplications[Mois de bascule prevu],"&lt;="&amp;EOMONTH($A143,0),tblApplications[Inclus projection O/N],"O")</f>
        <v>0</v>
      </c>
      <c r="J143" s="24">
        <f ca="1">SUMIFS(tblApplications[RAM cible ROKS],tblApplications[Cluster ROKS cible (auto)],$B143,tblApplications[Mois de bascule prevu],"&lt;="&amp;EOMONTH($A143,0),tblApplications[Inclus projection O/N],"O")</f>
        <v>0</v>
      </c>
      <c r="K143" s="25">
        <f t="shared" ca="1" si="12"/>
        <v>0</v>
      </c>
      <c r="L143" s="25">
        <f t="shared" ca="1" si="13"/>
        <v>0</v>
      </c>
      <c r="M143" s="26">
        <f t="shared" ca="1" si="14"/>
        <v>0</v>
      </c>
      <c r="N143" s="26">
        <f t="shared" ca="1" si="15"/>
        <v>0</v>
      </c>
      <c r="O143" s="22" t="str">
        <f ca="1">IF(E143=0,IF(K143&gt;0,"Cluster sans capacite provisionnee","n/a"),IF(OR(M143&gt;=Clusters_ROKS!$AC$5,N143&gt;=Clusters_ROKS!$AC$5),"Seuil depasse","OK"))</f>
        <v>OK</v>
      </c>
      <c r="P143" s="25">
        <f t="shared" ca="1" si="16"/>
        <v>0</v>
      </c>
      <c r="Q143" s="25">
        <f t="shared" ca="1" si="17"/>
        <v>0</v>
      </c>
      <c r="R143" s="24">
        <f ca="1">IF(AND(P143=0,Q143=0),0,IFERROR(MAX(ROUNDUP(P143/INDEX(tblClusters[vCPU / noeud (deduit)],MATCH($B143,tblClusters[Cluster],0)),0),ROUNDUP(Q143/INDEX(tblClusters[RAM / noeud - Go (deduit)],MATCH($B143,tblClusters[Cluster],0)),0)),"Flavor a definir"))</f>
        <v>0</v>
      </c>
    </row>
    <row r="144" spans="1:18" x14ac:dyDescent="0.2">
      <c r="A144" s="38">
        <v>46600</v>
      </c>
      <c r="B144" s="21" t="s">
        <v>176</v>
      </c>
      <c r="C144" s="28" t="str">
        <f>IFERROR(INDEX(tblClusters[Utilisation],MATCH($B144,tblClusters[Cluster],0)),"")</f>
        <v>EMEA Non Secret Prod</v>
      </c>
      <c r="D144" s="28" t="str">
        <f>IFERROR(INDEX(tblClusters[Type (deduit)],MATCH($B144,tblClusters[Cluster],0)),"")</f>
        <v>Dedie</v>
      </c>
      <c r="E144" s="24">
        <f>IFERROR(INDEX(tblClusters[CPU max (cores)],MATCH($B144,tblClusters[Cluster],0)),0)</f>
        <v>48</v>
      </c>
      <c r="F144" s="24">
        <f>IFERROR(INDEX(tblClusters[RAM max (Go)],MATCH($B144,tblClusters[Cluster],0)),0)</f>
        <v>240</v>
      </c>
      <c r="G144" s="24">
        <f>IFERROR(INDEX(tblClusters[Charge existante CPU hors migration],MATCH($B144,tblClusters[Cluster],0)),0)</f>
        <v>0</v>
      </c>
      <c r="H144" s="24">
        <f>IFERROR(INDEX(tblClusters[Charge existante RAM hors migration (Go)],MATCH($B144,tblClusters[Cluster],0)),0)</f>
        <v>0</v>
      </c>
      <c r="I144" s="24">
        <f ca="1">SUMIFS(tblApplications[CPU cible ROKS],tblApplications[Cluster ROKS cible (auto)],$B144,tblApplications[Mois de bascule prevu],"&lt;="&amp;EOMONTH($A144,0),tblApplications[Inclus projection O/N],"O")</f>
        <v>0</v>
      </c>
      <c r="J144" s="24">
        <f ca="1">SUMIFS(tblApplications[RAM cible ROKS],tblApplications[Cluster ROKS cible (auto)],$B144,tblApplications[Mois de bascule prevu],"&lt;="&amp;EOMONTH($A144,0),tblApplications[Inclus projection O/N],"O")</f>
        <v>0</v>
      </c>
      <c r="K144" s="25">
        <f t="shared" ca="1" si="12"/>
        <v>0</v>
      </c>
      <c r="L144" s="25">
        <f t="shared" ca="1" si="13"/>
        <v>0</v>
      </c>
      <c r="M144" s="26">
        <f t="shared" ca="1" si="14"/>
        <v>0</v>
      </c>
      <c r="N144" s="26">
        <f t="shared" ca="1" si="15"/>
        <v>0</v>
      </c>
      <c r="O144" s="22" t="str">
        <f ca="1">IF(E144=0,IF(K144&gt;0,"Cluster sans capacite provisionnee","n/a"),IF(OR(M144&gt;=Clusters_ROKS!$AC$5,N144&gt;=Clusters_ROKS!$AC$5),"Seuil depasse","OK"))</f>
        <v>OK</v>
      </c>
      <c r="P144" s="25">
        <f t="shared" ca="1" si="16"/>
        <v>0</v>
      </c>
      <c r="Q144" s="25">
        <f t="shared" ca="1" si="17"/>
        <v>0</v>
      </c>
      <c r="R144" s="24">
        <f ca="1">IF(AND(P144=0,Q144=0),0,IFERROR(MAX(ROUNDUP(P144/INDEX(tblClusters[vCPU / noeud (deduit)],MATCH($B144,tblClusters[Cluster],0)),0),ROUNDUP(Q144/INDEX(tblClusters[RAM / noeud - Go (deduit)],MATCH($B144,tblClusters[Cluster],0)),0)),"Flavor a definir"))</f>
        <v>0</v>
      </c>
    </row>
    <row r="145" spans="1:18" x14ac:dyDescent="0.2">
      <c r="A145" s="38">
        <v>46631</v>
      </c>
      <c r="B145" s="21" t="s">
        <v>176</v>
      </c>
      <c r="C145" s="28" t="str">
        <f>IFERROR(INDEX(tblClusters[Utilisation],MATCH($B145,tblClusters[Cluster],0)),"")</f>
        <v>EMEA Non Secret Prod</v>
      </c>
      <c r="D145" s="28" t="str">
        <f>IFERROR(INDEX(tblClusters[Type (deduit)],MATCH($B145,tblClusters[Cluster],0)),"")</f>
        <v>Dedie</v>
      </c>
      <c r="E145" s="24">
        <f>IFERROR(INDEX(tblClusters[CPU max (cores)],MATCH($B145,tblClusters[Cluster],0)),0)</f>
        <v>48</v>
      </c>
      <c r="F145" s="24">
        <f>IFERROR(INDEX(tblClusters[RAM max (Go)],MATCH($B145,tblClusters[Cluster],0)),0)</f>
        <v>240</v>
      </c>
      <c r="G145" s="24">
        <f>IFERROR(INDEX(tblClusters[Charge existante CPU hors migration],MATCH($B145,tblClusters[Cluster],0)),0)</f>
        <v>0</v>
      </c>
      <c r="H145" s="24">
        <f>IFERROR(INDEX(tblClusters[Charge existante RAM hors migration (Go)],MATCH($B145,tblClusters[Cluster],0)),0)</f>
        <v>0</v>
      </c>
      <c r="I145" s="24">
        <f ca="1">SUMIFS(tblApplications[CPU cible ROKS],tblApplications[Cluster ROKS cible (auto)],$B145,tblApplications[Mois de bascule prevu],"&lt;="&amp;EOMONTH($A145,0),tblApplications[Inclus projection O/N],"O")</f>
        <v>0</v>
      </c>
      <c r="J145" s="24">
        <f ca="1">SUMIFS(tblApplications[RAM cible ROKS],tblApplications[Cluster ROKS cible (auto)],$B145,tblApplications[Mois de bascule prevu],"&lt;="&amp;EOMONTH($A145,0),tblApplications[Inclus projection O/N],"O")</f>
        <v>0</v>
      </c>
      <c r="K145" s="25">
        <f t="shared" ca="1" si="12"/>
        <v>0</v>
      </c>
      <c r="L145" s="25">
        <f t="shared" ca="1" si="13"/>
        <v>0</v>
      </c>
      <c r="M145" s="26">
        <f t="shared" ca="1" si="14"/>
        <v>0</v>
      </c>
      <c r="N145" s="26">
        <f t="shared" ca="1" si="15"/>
        <v>0</v>
      </c>
      <c r="O145" s="22" t="str">
        <f ca="1">IF(E145=0,IF(K145&gt;0,"Cluster sans capacite provisionnee","n/a"),IF(OR(M145&gt;=Clusters_ROKS!$AC$5,N145&gt;=Clusters_ROKS!$AC$5),"Seuil depasse","OK"))</f>
        <v>OK</v>
      </c>
      <c r="P145" s="25">
        <f t="shared" ca="1" si="16"/>
        <v>0</v>
      </c>
      <c r="Q145" s="25">
        <f t="shared" ca="1" si="17"/>
        <v>0</v>
      </c>
      <c r="R145" s="24">
        <f ca="1">IF(AND(P145=0,Q145=0),0,IFERROR(MAX(ROUNDUP(P145/INDEX(tblClusters[vCPU / noeud (deduit)],MATCH($B145,tblClusters[Cluster],0)),0),ROUNDUP(Q145/INDEX(tblClusters[RAM / noeud - Go (deduit)],MATCH($B145,tblClusters[Cluster],0)),0)),"Flavor a definir"))</f>
        <v>0</v>
      </c>
    </row>
    <row r="146" spans="1:18" x14ac:dyDescent="0.2">
      <c r="A146" s="38">
        <v>46661</v>
      </c>
      <c r="B146" s="21" t="s">
        <v>176</v>
      </c>
      <c r="C146" s="28" t="str">
        <f>IFERROR(INDEX(tblClusters[Utilisation],MATCH($B146,tblClusters[Cluster],0)),"")</f>
        <v>EMEA Non Secret Prod</v>
      </c>
      <c r="D146" s="28" t="str">
        <f>IFERROR(INDEX(tblClusters[Type (deduit)],MATCH($B146,tblClusters[Cluster],0)),"")</f>
        <v>Dedie</v>
      </c>
      <c r="E146" s="24">
        <f>IFERROR(INDEX(tblClusters[CPU max (cores)],MATCH($B146,tblClusters[Cluster],0)),0)</f>
        <v>48</v>
      </c>
      <c r="F146" s="24">
        <f>IFERROR(INDEX(tblClusters[RAM max (Go)],MATCH($B146,tblClusters[Cluster],0)),0)</f>
        <v>240</v>
      </c>
      <c r="G146" s="24">
        <f>IFERROR(INDEX(tblClusters[Charge existante CPU hors migration],MATCH($B146,tblClusters[Cluster],0)),0)</f>
        <v>0</v>
      </c>
      <c r="H146" s="24">
        <f>IFERROR(INDEX(tblClusters[Charge existante RAM hors migration (Go)],MATCH($B146,tblClusters[Cluster],0)),0)</f>
        <v>0</v>
      </c>
      <c r="I146" s="24">
        <f ca="1">SUMIFS(tblApplications[CPU cible ROKS],tblApplications[Cluster ROKS cible (auto)],$B146,tblApplications[Mois de bascule prevu],"&lt;="&amp;EOMONTH($A146,0),tblApplications[Inclus projection O/N],"O")</f>
        <v>0</v>
      </c>
      <c r="J146" s="24">
        <f ca="1">SUMIFS(tblApplications[RAM cible ROKS],tblApplications[Cluster ROKS cible (auto)],$B146,tblApplications[Mois de bascule prevu],"&lt;="&amp;EOMONTH($A146,0),tblApplications[Inclus projection O/N],"O")</f>
        <v>0</v>
      </c>
      <c r="K146" s="25">
        <f t="shared" ca="1" si="12"/>
        <v>0</v>
      </c>
      <c r="L146" s="25">
        <f t="shared" ca="1" si="13"/>
        <v>0</v>
      </c>
      <c r="M146" s="26">
        <f t="shared" ca="1" si="14"/>
        <v>0</v>
      </c>
      <c r="N146" s="26">
        <f t="shared" ca="1" si="15"/>
        <v>0</v>
      </c>
      <c r="O146" s="22" t="str">
        <f ca="1">IF(E146=0,IF(K146&gt;0,"Cluster sans capacite provisionnee","n/a"),IF(OR(M146&gt;=Clusters_ROKS!$AC$5,N146&gt;=Clusters_ROKS!$AC$5),"Seuil depasse","OK"))</f>
        <v>OK</v>
      </c>
      <c r="P146" s="25">
        <f t="shared" ca="1" si="16"/>
        <v>0</v>
      </c>
      <c r="Q146" s="25">
        <f t="shared" ca="1" si="17"/>
        <v>0</v>
      </c>
      <c r="R146" s="24">
        <f ca="1">IF(AND(P146=0,Q146=0),0,IFERROR(MAX(ROUNDUP(P146/INDEX(tblClusters[vCPU / noeud (deduit)],MATCH($B146,tblClusters[Cluster],0)),0),ROUNDUP(Q146/INDEX(tblClusters[RAM / noeud - Go (deduit)],MATCH($B146,tblClusters[Cluster],0)),0)),"Flavor a definir"))</f>
        <v>0</v>
      </c>
    </row>
    <row r="147" spans="1:18" x14ac:dyDescent="0.2">
      <c r="A147" s="38">
        <v>46692</v>
      </c>
      <c r="B147" s="21" t="s">
        <v>176</v>
      </c>
      <c r="C147" s="28" t="str">
        <f>IFERROR(INDEX(tblClusters[Utilisation],MATCH($B147,tblClusters[Cluster],0)),"")</f>
        <v>EMEA Non Secret Prod</v>
      </c>
      <c r="D147" s="28" t="str">
        <f>IFERROR(INDEX(tblClusters[Type (deduit)],MATCH($B147,tblClusters[Cluster],0)),"")</f>
        <v>Dedie</v>
      </c>
      <c r="E147" s="24">
        <f>IFERROR(INDEX(tblClusters[CPU max (cores)],MATCH($B147,tblClusters[Cluster],0)),0)</f>
        <v>48</v>
      </c>
      <c r="F147" s="24">
        <f>IFERROR(INDEX(tblClusters[RAM max (Go)],MATCH($B147,tblClusters[Cluster],0)),0)</f>
        <v>240</v>
      </c>
      <c r="G147" s="24">
        <f>IFERROR(INDEX(tblClusters[Charge existante CPU hors migration],MATCH($B147,tblClusters[Cluster],0)),0)</f>
        <v>0</v>
      </c>
      <c r="H147" s="24">
        <f>IFERROR(INDEX(tblClusters[Charge existante RAM hors migration (Go)],MATCH($B147,tblClusters[Cluster],0)),0)</f>
        <v>0</v>
      </c>
      <c r="I147" s="24">
        <f ca="1">SUMIFS(tblApplications[CPU cible ROKS],tblApplications[Cluster ROKS cible (auto)],$B147,tblApplications[Mois de bascule prevu],"&lt;="&amp;EOMONTH($A147,0),tblApplications[Inclus projection O/N],"O")</f>
        <v>0</v>
      </c>
      <c r="J147" s="24">
        <f ca="1">SUMIFS(tblApplications[RAM cible ROKS],tblApplications[Cluster ROKS cible (auto)],$B147,tblApplications[Mois de bascule prevu],"&lt;="&amp;EOMONTH($A147,0),tblApplications[Inclus projection O/N],"O")</f>
        <v>0</v>
      </c>
      <c r="K147" s="25">
        <f t="shared" ca="1" si="12"/>
        <v>0</v>
      </c>
      <c r="L147" s="25">
        <f t="shared" ca="1" si="13"/>
        <v>0</v>
      </c>
      <c r="M147" s="26">
        <f t="shared" ca="1" si="14"/>
        <v>0</v>
      </c>
      <c r="N147" s="26">
        <f t="shared" ca="1" si="15"/>
        <v>0</v>
      </c>
      <c r="O147" s="22" t="str">
        <f ca="1">IF(E147=0,IF(K147&gt;0,"Cluster sans capacite provisionnee","n/a"),IF(OR(M147&gt;=Clusters_ROKS!$AC$5,N147&gt;=Clusters_ROKS!$AC$5),"Seuil depasse","OK"))</f>
        <v>OK</v>
      </c>
      <c r="P147" s="25">
        <f t="shared" ca="1" si="16"/>
        <v>0</v>
      </c>
      <c r="Q147" s="25">
        <f t="shared" ca="1" si="17"/>
        <v>0</v>
      </c>
      <c r="R147" s="24">
        <f ca="1">IF(AND(P147=0,Q147=0),0,IFERROR(MAX(ROUNDUP(P147/INDEX(tblClusters[vCPU / noeud (deduit)],MATCH($B147,tblClusters[Cluster],0)),0),ROUNDUP(Q147/INDEX(tblClusters[RAM / noeud - Go (deduit)],MATCH($B147,tblClusters[Cluster],0)),0)),"Flavor a definir"))</f>
        <v>0</v>
      </c>
    </row>
    <row r="148" spans="1:18" x14ac:dyDescent="0.2">
      <c r="A148" s="38">
        <v>46722</v>
      </c>
      <c r="B148" s="21" t="s">
        <v>176</v>
      </c>
      <c r="C148" s="28" t="str">
        <f>IFERROR(INDEX(tblClusters[Utilisation],MATCH($B148,tblClusters[Cluster],0)),"")</f>
        <v>EMEA Non Secret Prod</v>
      </c>
      <c r="D148" s="28" t="str">
        <f>IFERROR(INDEX(tblClusters[Type (deduit)],MATCH($B148,tblClusters[Cluster],0)),"")</f>
        <v>Dedie</v>
      </c>
      <c r="E148" s="24">
        <f>IFERROR(INDEX(tblClusters[CPU max (cores)],MATCH($B148,tblClusters[Cluster],0)),0)</f>
        <v>48</v>
      </c>
      <c r="F148" s="24">
        <f>IFERROR(INDEX(tblClusters[RAM max (Go)],MATCH($B148,tblClusters[Cluster],0)),0)</f>
        <v>240</v>
      </c>
      <c r="G148" s="24">
        <f>IFERROR(INDEX(tblClusters[Charge existante CPU hors migration],MATCH($B148,tblClusters[Cluster],0)),0)</f>
        <v>0</v>
      </c>
      <c r="H148" s="24">
        <f>IFERROR(INDEX(tblClusters[Charge existante RAM hors migration (Go)],MATCH($B148,tblClusters[Cluster],0)),0)</f>
        <v>0</v>
      </c>
      <c r="I148" s="24">
        <f ca="1">SUMIFS(tblApplications[CPU cible ROKS],tblApplications[Cluster ROKS cible (auto)],$B148,tblApplications[Mois de bascule prevu],"&lt;="&amp;EOMONTH($A148,0),tblApplications[Inclus projection O/N],"O")</f>
        <v>0</v>
      </c>
      <c r="J148" s="24">
        <f ca="1">SUMIFS(tblApplications[RAM cible ROKS],tblApplications[Cluster ROKS cible (auto)],$B148,tblApplications[Mois de bascule prevu],"&lt;="&amp;EOMONTH($A148,0),tblApplications[Inclus projection O/N],"O")</f>
        <v>0</v>
      </c>
      <c r="K148" s="25">
        <f t="shared" ca="1" si="12"/>
        <v>0</v>
      </c>
      <c r="L148" s="25">
        <f t="shared" ca="1" si="13"/>
        <v>0</v>
      </c>
      <c r="M148" s="26">
        <f t="shared" ca="1" si="14"/>
        <v>0</v>
      </c>
      <c r="N148" s="26">
        <f t="shared" ca="1" si="15"/>
        <v>0</v>
      </c>
      <c r="O148" s="22" t="str">
        <f ca="1">IF(E148=0,IF(K148&gt;0,"Cluster sans capacite provisionnee","n/a"),IF(OR(M148&gt;=Clusters_ROKS!$AC$5,N148&gt;=Clusters_ROKS!$AC$5),"Seuil depasse","OK"))</f>
        <v>OK</v>
      </c>
      <c r="P148" s="25">
        <f t="shared" ca="1" si="16"/>
        <v>0</v>
      </c>
      <c r="Q148" s="25">
        <f t="shared" ca="1" si="17"/>
        <v>0</v>
      </c>
      <c r="R148" s="24">
        <f ca="1">IF(AND(P148=0,Q148=0),0,IFERROR(MAX(ROUNDUP(P148/INDEX(tblClusters[vCPU / noeud (deduit)],MATCH($B148,tblClusters[Cluster],0)),0),ROUNDUP(Q148/INDEX(tblClusters[RAM / noeud - Go (deduit)],MATCH($B148,tblClusters[Cluster],0)),0)),"Flavor a definir"))</f>
        <v>0</v>
      </c>
    </row>
    <row r="149" spans="1:18" x14ac:dyDescent="0.2">
      <c r="A149" s="38">
        <v>46388</v>
      </c>
      <c r="B149" s="21" t="s">
        <v>178</v>
      </c>
      <c r="C149" s="28" t="str">
        <f>IFERROR(INDEX(tblClusters[Utilisation],MATCH($B149,tblClusters[Cluster],0)),"")</f>
        <v>EMEA Secret Prod</v>
      </c>
      <c r="D149" s="28" t="str">
        <f>IFERROR(INDEX(tblClusters[Type (deduit)],MATCH($B149,tblClusters[Cluster],0)),"")</f>
        <v>Dedie</v>
      </c>
      <c r="E149" s="24">
        <f>IFERROR(INDEX(tblClusters[CPU max (cores)],MATCH($B149,tblClusters[Cluster],0)),0)</f>
        <v>48</v>
      </c>
      <c r="F149" s="24">
        <f>IFERROR(INDEX(tblClusters[RAM max (Go)],MATCH($B149,tblClusters[Cluster],0)),0)</f>
        <v>240</v>
      </c>
      <c r="G149" s="24">
        <f>IFERROR(INDEX(tblClusters[Charge existante CPU hors migration],MATCH($B149,tblClusters[Cluster],0)),0)</f>
        <v>0</v>
      </c>
      <c r="H149" s="24">
        <f>IFERROR(INDEX(tblClusters[Charge existante RAM hors migration (Go)],MATCH($B149,tblClusters[Cluster],0)),0)</f>
        <v>0</v>
      </c>
      <c r="I149" s="24">
        <f ca="1">SUMIFS(tblApplications[CPU cible ROKS],tblApplications[Cluster ROKS cible (auto)],$B149,tblApplications[Mois de bascule prevu],"&lt;="&amp;EOMONTH($A149,0),tblApplications[Inclus projection O/N],"O")</f>
        <v>0</v>
      </c>
      <c r="J149" s="24">
        <f ca="1">SUMIFS(tblApplications[RAM cible ROKS],tblApplications[Cluster ROKS cible (auto)],$B149,tblApplications[Mois de bascule prevu],"&lt;="&amp;EOMONTH($A149,0),tblApplications[Inclus projection O/N],"O")</f>
        <v>0</v>
      </c>
      <c r="K149" s="25">
        <f t="shared" ca="1" si="12"/>
        <v>0</v>
      </c>
      <c r="L149" s="25">
        <f t="shared" ca="1" si="13"/>
        <v>0</v>
      </c>
      <c r="M149" s="26">
        <f t="shared" ca="1" si="14"/>
        <v>0</v>
      </c>
      <c r="N149" s="26">
        <f t="shared" ca="1" si="15"/>
        <v>0</v>
      </c>
      <c r="O149" s="22" t="str">
        <f ca="1">IF(E149=0,IF(K149&gt;0,"Cluster sans capacite provisionnee","n/a"),IF(OR(M149&gt;=Clusters_ROKS!$AC$5,N149&gt;=Clusters_ROKS!$AC$5),"Seuil depasse","OK"))</f>
        <v>OK</v>
      </c>
      <c r="P149" s="25">
        <f t="shared" ca="1" si="16"/>
        <v>0</v>
      </c>
      <c r="Q149" s="25">
        <f t="shared" ca="1" si="17"/>
        <v>0</v>
      </c>
      <c r="R149" s="24">
        <f ca="1">IF(AND(P149=0,Q149=0),0,IFERROR(MAX(ROUNDUP(P149/INDEX(tblClusters[vCPU / noeud (deduit)],MATCH($B149,tblClusters[Cluster],0)),0),ROUNDUP(Q149/INDEX(tblClusters[RAM / noeud - Go (deduit)],MATCH($B149,tblClusters[Cluster],0)),0)),"Flavor a definir"))</f>
        <v>0</v>
      </c>
    </row>
    <row r="150" spans="1:18" x14ac:dyDescent="0.2">
      <c r="A150" s="38">
        <v>46419</v>
      </c>
      <c r="B150" s="21" t="s">
        <v>178</v>
      </c>
      <c r="C150" s="28" t="str">
        <f>IFERROR(INDEX(tblClusters[Utilisation],MATCH($B150,tblClusters[Cluster],0)),"")</f>
        <v>EMEA Secret Prod</v>
      </c>
      <c r="D150" s="28" t="str">
        <f>IFERROR(INDEX(tblClusters[Type (deduit)],MATCH($B150,tblClusters[Cluster],0)),"")</f>
        <v>Dedie</v>
      </c>
      <c r="E150" s="24">
        <f>IFERROR(INDEX(tblClusters[CPU max (cores)],MATCH($B150,tblClusters[Cluster],0)),0)</f>
        <v>48</v>
      </c>
      <c r="F150" s="24">
        <f>IFERROR(INDEX(tblClusters[RAM max (Go)],MATCH($B150,tblClusters[Cluster],0)),0)</f>
        <v>240</v>
      </c>
      <c r="G150" s="24">
        <f>IFERROR(INDEX(tblClusters[Charge existante CPU hors migration],MATCH($B150,tblClusters[Cluster],0)),0)</f>
        <v>0</v>
      </c>
      <c r="H150" s="24">
        <f>IFERROR(INDEX(tblClusters[Charge existante RAM hors migration (Go)],MATCH($B150,tblClusters[Cluster],0)),0)</f>
        <v>0</v>
      </c>
      <c r="I150" s="24">
        <f ca="1">SUMIFS(tblApplications[CPU cible ROKS],tblApplications[Cluster ROKS cible (auto)],$B150,tblApplications[Mois de bascule prevu],"&lt;="&amp;EOMONTH($A150,0),tblApplications[Inclus projection O/N],"O")</f>
        <v>0</v>
      </c>
      <c r="J150" s="24">
        <f ca="1">SUMIFS(tblApplications[RAM cible ROKS],tblApplications[Cluster ROKS cible (auto)],$B150,tblApplications[Mois de bascule prevu],"&lt;="&amp;EOMONTH($A150,0),tblApplications[Inclus projection O/N],"O")</f>
        <v>0</v>
      </c>
      <c r="K150" s="25">
        <f t="shared" ca="1" si="12"/>
        <v>0</v>
      </c>
      <c r="L150" s="25">
        <f t="shared" ca="1" si="13"/>
        <v>0</v>
      </c>
      <c r="M150" s="26">
        <f t="shared" ca="1" si="14"/>
        <v>0</v>
      </c>
      <c r="N150" s="26">
        <f t="shared" ca="1" si="15"/>
        <v>0</v>
      </c>
      <c r="O150" s="22" t="str">
        <f ca="1">IF(E150=0,IF(K150&gt;0,"Cluster sans capacite provisionnee","n/a"),IF(OR(M150&gt;=Clusters_ROKS!$AC$5,N150&gt;=Clusters_ROKS!$AC$5),"Seuil depasse","OK"))</f>
        <v>OK</v>
      </c>
      <c r="P150" s="25">
        <f t="shared" ca="1" si="16"/>
        <v>0</v>
      </c>
      <c r="Q150" s="25">
        <f t="shared" ca="1" si="17"/>
        <v>0</v>
      </c>
      <c r="R150" s="24">
        <f ca="1">IF(AND(P150=0,Q150=0),0,IFERROR(MAX(ROUNDUP(P150/INDEX(tblClusters[vCPU / noeud (deduit)],MATCH($B150,tblClusters[Cluster],0)),0),ROUNDUP(Q150/INDEX(tblClusters[RAM / noeud - Go (deduit)],MATCH($B150,tblClusters[Cluster],0)),0)),"Flavor a definir"))</f>
        <v>0</v>
      </c>
    </row>
    <row r="151" spans="1:18" x14ac:dyDescent="0.2">
      <c r="A151" s="38">
        <v>46447</v>
      </c>
      <c r="B151" s="21" t="s">
        <v>178</v>
      </c>
      <c r="C151" s="28" t="str">
        <f>IFERROR(INDEX(tblClusters[Utilisation],MATCH($B151,tblClusters[Cluster],0)),"")</f>
        <v>EMEA Secret Prod</v>
      </c>
      <c r="D151" s="28" t="str">
        <f>IFERROR(INDEX(tblClusters[Type (deduit)],MATCH($B151,tblClusters[Cluster],0)),"")</f>
        <v>Dedie</v>
      </c>
      <c r="E151" s="24">
        <f>IFERROR(INDEX(tblClusters[CPU max (cores)],MATCH($B151,tblClusters[Cluster],0)),0)</f>
        <v>48</v>
      </c>
      <c r="F151" s="24">
        <f>IFERROR(INDEX(tblClusters[RAM max (Go)],MATCH($B151,tblClusters[Cluster],0)),0)</f>
        <v>240</v>
      </c>
      <c r="G151" s="24">
        <f>IFERROR(INDEX(tblClusters[Charge existante CPU hors migration],MATCH($B151,tblClusters[Cluster],0)),0)</f>
        <v>0</v>
      </c>
      <c r="H151" s="24">
        <f>IFERROR(INDEX(tblClusters[Charge existante RAM hors migration (Go)],MATCH($B151,tblClusters[Cluster],0)),0)</f>
        <v>0</v>
      </c>
      <c r="I151" s="24">
        <f ca="1">SUMIFS(tblApplications[CPU cible ROKS],tblApplications[Cluster ROKS cible (auto)],$B151,tblApplications[Mois de bascule prevu],"&lt;="&amp;EOMONTH($A151,0),tblApplications[Inclus projection O/N],"O")</f>
        <v>0</v>
      </c>
      <c r="J151" s="24">
        <f ca="1">SUMIFS(tblApplications[RAM cible ROKS],tblApplications[Cluster ROKS cible (auto)],$B151,tblApplications[Mois de bascule prevu],"&lt;="&amp;EOMONTH($A151,0),tblApplications[Inclus projection O/N],"O")</f>
        <v>0</v>
      </c>
      <c r="K151" s="25">
        <f t="shared" ca="1" si="12"/>
        <v>0</v>
      </c>
      <c r="L151" s="25">
        <f t="shared" ca="1" si="13"/>
        <v>0</v>
      </c>
      <c r="M151" s="26">
        <f t="shared" ca="1" si="14"/>
        <v>0</v>
      </c>
      <c r="N151" s="26">
        <f t="shared" ca="1" si="15"/>
        <v>0</v>
      </c>
      <c r="O151" s="22" t="str">
        <f ca="1">IF(E151=0,IF(K151&gt;0,"Cluster sans capacite provisionnee","n/a"),IF(OR(M151&gt;=Clusters_ROKS!$AC$5,N151&gt;=Clusters_ROKS!$AC$5),"Seuil depasse","OK"))</f>
        <v>OK</v>
      </c>
      <c r="P151" s="25">
        <f t="shared" ca="1" si="16"/>
        <v>0</v>
      </c>
      <c r="Q151" s="25">
        <f t="shared" ca="1" si="17"/>
        <v>0</v>
      </c>
      <c r="R151" s="24">
        <f ca="1">IF(AND(P151=0,Q151=0),0,IFERROR(MAX(ROUNDUP(P151/INDEX(tblClusters[vCPU / noeud (deduit)],MATCH($B151,tblClusters[Cluster],0)),0),ROUNDUP(Q151/INDEX(tblClusters[RAM / noeud - Go (deduit)],MATCH($B151,tblClusters[Cluster],0)),0)),"Flavor a definir"))</f>
        <v>0</v>
      </c>
    </row>
    <row r="152" spans="1:18" x14ac:dyDescent="0.2">
      <c r="A152" s="38">
        <v>46478</v>
      </c>
      <c r="B152" s="21" t="s">
        <v>178</v>
      </c>
      <c r="C152" s="28" t="str">
        <f>IFERROR(INDEX(tblClusters[Utilisation],MATCH($B152,tblClusters[Cluster],0)),"")</f>
        <v>EMEA Secret Prod</v>
      </c>
      <c r="D152" s="28" t="str">
        <f>IFERROR(INDEX(tblClusters[Type (deduit)],MATCH($B152,tblClusters[Cluster],0)),"")</f>
        <v>Dedie</v>
      </c>
      <c r="E152" s="24">
        <f>IFERROR(INDEX(tblClusters[CPU max (cores)],MATCH($B152,tblClusters[Cluster],0)),0)</f>
        <v>48</v>
      </c>
      <c r="F152" s="24">
        <f>IFERROR(INDEX(tblClusters[RAM max (Go)],MATCH($B152,tblClusters[Cluster],0)),0)</f>
        <v>240</v>
      </c>
      <c r="G152" s="24">
        <f>IFERROR(INDEX(tblClusters[Charge existante CPU hors migration],MATCH($B152,tblClusters[Cluster],0)),0)</f>
        <v>0</v>
      </c>
      <c r="H152" s="24">
        <f>IFERROR(INDEX(tblClusters[Charge existante RAM hors migration (Go)],MATCH($B152,tblClusters[Cluster],0)),0)</f>
        <v>0</v>
      </c>
      <c r="I152" s="24">
        <f ca="1">SUMIFS(tblApplications[CPU cible ROKS],tblApplications[Cluster ROKS cible (auto)],$B152,tblApplications[Mois de bascule prevu],"&lt;="&amp;EOMONTH($A152,0),tblApplications[Inclus projection O/N],"O")</f>
        <v>24</v>
      </c>
      <c r="J152" s="24">
        <f ca="1">SUMIFS(tblApplications[RAM cible ROKS],tblApplications[Cluster ROKS cible (auto)],$B152,tblApplications[Mois de bascule prevu],"&lt;="&amp;EOMONTH($A152,0),tblApplications[Inclus projection O/N],"O")</f>
        <v>87</v>
      </c>
      <c r="K152" s="25">
        <f t="shared" ca="1" si="12"/>
        <v>24</v>
      </c>
      <c r="L152" s="25">
        <f t="shared" ca="1" si="13"/>
        <v>87</v>
      </c>
      <c r="M152" s="26">
        <f t="shared" ca="1" si="14"/>
        <v>0.5</v>
      </c>
      <c r="N152" s="26">
        <f t="shared" ca="1" si="15"/>
        <v>0.36249999999999999</v>
      </c>
      <c r="O152" s="22" t="str">
        <f ca="1">IF(E152=0,IF(K152&gt;0,"Cluster sans capacite provisionnee","n/a"),IF(OR(M152&gt;=Clusters_ROKS!$AC$5,N152&gt;=Clusters_ROKS!$AC$5),"Seuil depasse","OK"))</f>
        <v>OK</v>
      </c>
      <c r="P152" s="25">
        <f t="shared" ca="1" si="16"/>
        <v>0</v>
      </c>
      <c r="Q152" s="25">
        <f t="shared" ca="1" si="17"/>
        <v>0</v>
      </c>
      <c r="R152" s="24">
        <f ca="1">IF(AND(P152=0,Q152=0),0,IFERROR(MAX(ROUNDUP(P152/INDEX(tblClusters[vCPU / noeud (deduit)],MATCH($B152,tblClusters[Cluster],0)),0),ROUNDUP(Q152/INDEX(tblClusters[RAM / noeud - Go (deduit)],MATCH($B152,tblClusters[Cluster],0)),0)),"Flavor a definir"))</f>
        <v>0</v>
      </c>
    </row>
    <row r="153" spans="1:18" x14ac:dyDescent="0.2">
      <c r="A153" s="38">
        <v>46508</v>
      </c>
      <c r="B153" s="21" t="s">
        <v>178</v>
      </c>
      <c r="C153" s="28" t="str">
        <f>IFERROR(INDEX(tblClusters[Utilisation],MATCH($B153,tblClusters[Cluster],0)),"")</f>
        <v>EMEA Secret Prod</v>
      </c>
      <c r="D153" s="28" t="str">
        <f>IFERROR(INDEX(tblClusters[Type (deduit)],MATCH($B153,tblClusters[Cluster],0)),"")</f>
        <v>Dedie</v>
      </c>
      <c r="E153" s="24">
        <f>IFERROR(INDEX(tblClusters[CPU max (cores)],MATCH($B153,tblClusters[Cluster],0)),0)</f>
        <v>48</v>
      </c>
      <c r="F153" s="24">
        <f>IFERROR(INDEX(tblClusters[RAM max (Go)],MATCH($B153,tblClusters[Cluster],0)),0)</f>
        <v>240</v>
      </c>
      <c r="G153" s="24">
        <f>IFERROR(INDEX(tblClusters[Charge existante CPU hors migration],MATCH($B153,tblClusters[Cluster],0)),0)</f>
        <v>0</v>
      </c>
      <c r="H153" s="24">
        <f>IFERROR(INDEX(tblClusters[Charge existante RAM hors migration (Go)],MATCH($B153,tblClusters[Cluster],0)),0)</f>
        <v>0</v>
      </c>
      <c r="I153" s="24">
        <f ca="1">SUMIFS(tblApplications[CPU cible ROKS],tblApplications[Cluster ROKS cible (auto)],$B153,tblApplications[Mois de bascule prevu],"&lt;="&amp;EOMONTH($A153,0),tblApplications[Inclus projection O/N],"O")</f>
        <v>24</v>
      </c>
      <c r="J153" s="24">
        <f ca="1">SUMIFS(tblApplications[RAM cible ROKS],tblApplications[Cluster ROKS cible (auto)],$B153,tblApplications[Mois de bascule prevu],"&lt;="&amp;EOMONTH($A153,0),tblApplications[Inclus projection O/N],"O")</f>
        <v>87</v>
      </c>
      <c r="K153" s="25">
        <f t="shared" ca="1" si="12"/>
        <v>24</v>
      </c>
      <c r="L153" s="25">
        <f t="shared" ca="1" si="13"/>
        <v>87</v>
      </c>
      <c r="M153" s="26">
        <f t="shared" ca="1" si="14"/>
        <v>0.5</v>
      </c>
      <c r="N153" s="26">
        <f t="shared" ca="1" si="15"/>
        <v>0.36249999999999999</v>
      </c>
      <c r="O153" s="22" t="str">
        <f ca="1">IF(E153=0,IF(K153&gt;0,"Cluster sans capacite provisionnee","n/a"),IF(OR(M153&gt;=Clusters_ROKS!$AC$5,N153&gt;=Clusters_ROKS!$AC$5),"Seuil depasse","OK"))</f>
        <v>OK</v>
      </c>
      <c r="P153" s="25">
        <f t="shared" ca="1" si="16"/>
        <v>0</v>
      </c>
      <c r="Q153" s="25">
        <f t="shared" ca="1" si="17"/>
        <v>0</v>
      </c>
      <c r="R153" s="24">
        <f ca="1">IF(AND(P153=0,Q153=0),0,IFERROR(MAX(ROUNDUP(P153/INDEX(tblClusters[vCPU / noeud (deduit)],MATCH($B153,tblClusters[Cluster],0)),0),ROUNDUP(Q153/INDEX(tblClusters[RAM / noeud - Go (deduit)],MATCH($B153,tblClusters[Cluster],0)),0)),"Flavor a definir"))</f>
        <v>0</v>
      </c>
    </row>
    <row r="154" spans="1:18" x14ac:dyDescent="0.2">
      <c r="A154" s="38">
        <v>46539</v>
      </c>
      <c r="B154" s="21" t="s">
        <v>178</v>
      </c>
      <c r="C154" s="28" t="str">
        <f>IFERROR(INDEX(tblClusters[Utilisation],MATCH($B154,tblClusters[Cluster],0)),"")</f>
        <v>EMEA Secret Prod</v>
      </c>
      <c r="D154" s="28" t="str">
        <f>IFERROR(INDEX(tblClusters[Type (deduit)],MATCH($B154,tblClusters[Cluster],0)),"")</f>
        <v>Dedie</v>
      </c>
      <c r="E154" s="24">
        <f>IFERROR(INDEX(tblClusters[CPU max (cores)],MATCH($B154,tblClusters[Cluster],0)),0)</f>
        <v>48</v>
      </c>
      <c r="F154" s="24">
        <f>IFERROR(INDEX(tblClusters[RAM max (Go)],MATCH($B154,tblClusters[Cluster],0)),0)</f>
        <v>240</v>
      </c>
      <c r="G154" s="24">
        <f>IFERROR(INDEX(tblClusters[Charge existante CPU hors migration],MATCH($B154,tblClusters[Cluster],0)),0)</f>
        <v>0</v>
      </c>
      <c r="H154" s="24">
        <f>IFERROR(INDEX(tblClusters[Charge existante RAM hors migration (Go)],MATCH($B154,tblClusters[Cluster],0)),0)</f>
        <v>0</v>
      </c>
      <c r="I154" s="24">
        <f ca="1">SUMIFS(tblApplications[CPU cible ROKS],tblApplications[Cluster ROKS cible (auto)],$B154,tblApplications[Mois de bascule prevu],"&lt;="&amp;EOMONTH($A154,0),tblApplications[Inclus projection O/N],"O")</f>
        <v>24</v>
      </c>
      <c r="J154" s="24">
        <f ca="1">SUMIFS(tblApplications[RAM cible ROKS],tblApplications[Cluster ROKS cible (auto)],$B154,tblApplications[Mois de bascule prevu],"&lt;="&amp;EOMONTH($A154,0),tblApplications[Inclus projection O/N],"O")</f>
        <v>87</v>
      </c>
      <c r="K154" s="25">
        <f t="shared" ca="1" si="12"/>
        <v>24</v>
      </c>
      <c r="L154" s="25">
        <f t="shared" ca="1" si="13"/>
        <v>87</v>
      </c>
      <c r="M154" s="26">
        <f t="shared" ca="1" si="14"/>
        <v>0.5</v>
      </c>
      <c r="N154" s="26">
        <f t="shared" ca="1" si="15"/>
        <v>0.36249999999999999</v>
      </c>
      <c r="O154" s="22" t="str">
        <f ca="1">IF(E154=0,IF(K154&gt;0,"Cluster sans capacite provisionnee","n/a"),IF(OR(M154&gt;=Clusters_ROKS!$AC$5,N154&gt;=Clusters_ROKS!$AC$5),"Seuil depasse","OK"))</f>
        <v>OK</v>
      </c>
      <c r="P154" s="25">
        <f t="shared" ca="1" si="16"/>
        <v>0</v>
      </c>
      <c r="Q154" s="25">
        <f t="shared" ca="1" si="17"/>
        <v>0</v>
      </c>
      <c r="R154" s="24">
        <f ca="1">IF(AND(P154=0,Q154=0),0,IFERROR(MAX(ROUNDUP(P154/INDEX(tblClusters[vCPU / noeud (deduit)],MATCH($B154,tblClusters[Cluster],0)),0),ROUNDUP(Q154/INDEX(tblClusters[RAM / noeud - Go (deduit)],MATCH($B154,tblClusters[Cluster],0)),0)),"Flavor a definir"))</f>
        <v>0</v>
      </c>
    </row>
    <row r="155" spans="1:18" x14ac:dyDescent="0.2">
      <c r="A155" s="38">
        <v>46569</v>
      </c>
      <c r="B155" s="21" t="s">
        <v>178</v>
      </c>
      <c r="C155" s="28" t="str">
        <f>IFERROR(INDEX(tblClusters[Utilisation],MATCH($B155,tblClusters[Cluster],0)),"")</f>
        <v>EMEA Secret Prod</v>
      </c>
      <c r="D155" s="28" t="str">
        <f>IFERROR(INDEX(tblClusters[Type (deduit)],MATCH($B155,tblClusters[Cluster],0)),"")</f>
        <v>Dedie</v>
      </c>
      <c r="E155" s="24">
        <f>IFERROR(INDEX(tblClusters[CPU max (cores)],MATCH($B155,tblClusters[Cluster],0)),0)</f>
        <v>48</v>
      </c>
      <c r="F155" s="24">
        <f>IFERROR(INDEX(tblClusters[RAM max (Go)],MATCH($B155,tblClusters[Cluster],0)),0)</f>
        <v>240</v>
      </c>
      <c r="G155" s="24">
        <f>IFERROR(INDEX(tblClusters[Charge existante CPU hors migration],MATCH($B155,tblClusters[Cluster],0)),0)</f>
        <v>0</v>
      </c>
      <c r="H155" s="24">
        <f>IFERROR(INDEX(tblClusters[Charge existante RAM hors migration (Go)],MATCH($B155,tblClusters[Cluster],0)),0)</f>
        <v>0</v>
      </c>
      <c r="I155" s="24">
        <f ca="1">SUMIFS(tblApplications[CPU cible ROKS],tblApplications[Cluster ROKS cible (auto)],$B155,tblApplications[Mois de bascule prevu],"&lt;="&amp;EOMONTH($A155,0),tblApplications[Inclus projection O/N],"O")</f>
        <v>24</v>
      </c>
      <c r="J155" s="24">
        <f ca="1">SUMIFS(tblApplications[RAM cible ROKS],tblApplications[Cluster ROKS cible (auto)],$B155,tblApplications[Mois de bascule prevu],"&lt;="&amp;EOMONTH($A155,0),tblApplications[Inclus projection O/N],"O")</f>
        <v>87</v>
      </c>
      <c r="K155" s="25">
        <f t="shared" ca="1" si="12"/>
        <v>24</v>
      </c>
      <c r="L155" s="25">
        <f t="shared" ca="1" si="13"/>
        <v>87</v>
      </c>
      <c r="M155" s="26">
        <f t="shared" ca="1" si="14"/>
        <v>0.5</v>
      </c>
      <c r="N155" s="26">
        <f t="shared" ca="1" si="15"/>
        <v>0.36249999999999999</v>
      </c>
      <c r="O155" s="22" t="str">
        <f ca="1">IF(E155=0,IF(K155&gt;0,"Cluster sans capacite provisionnee","n/a"),IF(OR(M155&gt;=Clusters_ROKS!$AC$5,N155&gt;=Clusters_ROKS!$AC$5),"Seuil depasse","OK"))</f>
        <v>OK</v>
      </c>
      <c r="P155" s="25">
        <f t="shared" ca="1" si="16"/>
        <v>0</v>
      </c>
      <c r="Q155" s="25">
        <f t="shared" ca="1" si="17"/>
        <v>0</v>
      </c>
      <c r="R155" s="24">
        <f ca="1">IF(AND(P155=0,Q155=0),0,IFERROR(MAX(ROUNDUP(P155/INDEX(tblClusters[vCPU / noeud (deduit)],MATCH($B155,tblClusters[Cluster],0)),0),ROUNDUP(Q155/INDEX(tblClusters[RAM / noeud - Go (deduit)],MATCH($B155,tblClusters[Cluster],0)),0)),"Flavor a definir"))</f>
        <v>0</v>
      </c>
    </row>
    <row r="156" spans="1:18" x14ac:dyDescent="0.2">
      <c r="A156" s="38">
        <v>46600</v>
      </c>
      <c r="B156" s="21" t="s">
        <v>178</v>
      </c>
      <c r="C156" s="28" t="str">
        <f>IFERROR(INDEX(tblClusters[Utilisation],MATCH($B156,tblClusters[Cluster],0)),"")</f>
        <v>EMEA Secret Prod</v>
      </c>
      <c r="D156" s="28" t="str">
        <f>IFERROR(INDEX(tblClusters[Type (deduit)],MATCH($B156,tblClusters[Cluster],0)),"")</f>
        <v>Dedie</v>
      </c>
      <c r="E156" s="24">
        <f>IFERROR(INDEX(tblClusters[CPU max (cores)],MATCH($B156,tblClusters[Cluster],0)),0)</f>
        <v>48</v>
      </c>
      <c r="F156" s="24">
        <f>IFERROR(INDEX(tblClusters[RAM max (Go)],MATCH($B156,tblClusters[Cluster],0)),0)</f>
        <v>240</v>
      </c>
      <c r="G156" s="24">
        <f>IFERROR(INDEX(tblClusters[Charge existante CPU hors migration],MATCH($B156,tblClusters[Cluster],0)),0)</f>
        <v>0</v>
      </c>
      <c r="H156" s="24">
        <f>IFERROR(INDEX(tblClusters[Charge existante RAM hors migration (Go)],MATCH($B156,tblClusters[Cluster],0)),0)</f>
        <v>0</v>
      </c>
      <c r="I156" s="24">
        <f ca="1">SUMIFS(tblApplications[CPU cible ROKS],tblApplications[Cluster ROKS cible (auto)],$B156,tblApplications[Mois de bascule prevu],"&lt;="&amp;EOMONTH($A156,0),tblApplications[Inclus projection O/N],"O")</f>
        <v>24</v>
      </c>
      <c r="J156" s="24">
        <f ca="1">SUMIFS(tblApplications[RAM cible ROKS],tblApplications[Cluster ROKS cible (auto)],$B156,tblApplications[Mois de bascule prevu],"&lt;="&amp;EOMONTH($A156,0),tblApplications[Inclus projection O/N],"O")</f>
        <v>87</v>
      </c>
      <c r="K156" s="25">
        <f t="shared" ca="1" si="12"/>
        <v>24</v>
      </c>
      <c r="L156" s="25">
        <f t="shared" ca="1" si="13"/>
        <v>87</v>
      </c>
      <c r="M156" s="26">
        <f t="shared" ca="1" si="14"/>
        <v>0.5</v>
      </c>
      <c r="N156" s="26">
        <f t="shared" ca="1" si="15"/>
        <v>0.36249999999999999</v>
      </c>
      <c r="O156" s="22" t="str">
        <f ca="1">IF(E156=0,IF(K156&gt;0,"Cluster sans capacite provisionnee","n/a"),IF(OR(M156&gt;=Clusters_ROKS!$AC$5,N156&gt;=Clusters_ROKS!$AC$5),"Seuil depasse","OK"))</f>
        <v>OK</v>
      </c>
      <c r="P156" s="25">
        <f t="shared" ca="1" si="16"/>
        <v>0</v>
      </c>
      <c r="Q156" s="25">
        <f t="shared" ca="1" si="17"/>
        <v>0</v>
      </c>
      <c r="R156" s="24">
        <f ca="1">IF(AND(P156=0,Q156=0),0,IFERROR(MAX(ROUNDUP(P156/INDEX(tblClusters[vCPU / noeud (deduit)],MATCH($B156,tblClusters[Cluster],0)),0),ROUNDUP(Q156/INDEX(tblClusters[RAM / noeud - Go (deduit)],MATCH($B156,tblClusters[Cluster],0)),0)),"Flavor a definir"))</f>
        <v>0</v>
      </c>
    </row>
    <row r="157" spans="1:18" x14ac:dyDescent="0.2">
      <c r="A157" s="38">
        <v>46631</v>
      </c>
      <c r="B157" s="21" t="s">
        <v>178</v>
      </c>
      <c r="C157" s="28" t="str">
        <f>IFERROR(INDEX(tblClusters[Utilisation],MATCH($B157,tblClusters[Cluster],0)),"")</f>
        <v>EMEA Secret Prod</v>
      </c>
      <c r="D157" s="28" t="str">
        <f>IFERROR(INDEX(tblClusters[Type (deduit)],MATCH($B157,tblClusters[Cluster],0)),"")</f>
        <v>Dedie</v>
      </c>
      <c r="E157" s="24">
        <f>IFERROR(INDEX(tblClusters[CPU max (cores)],MATCH($B157,tblClusters[Cluster],0)),0)</f>
        <v>48</v>
      </c>
      <c r="F157" s="24">
        <f>IFERROR(INDEX(tblClusters[RAM max (Go)],MATCH($B157,tblClusters[Cluster],0)),0)</f>
        <v>240</v>
      </c>
      <c r="G157" s="24">
        <f>IFERROR(INDEX(tblClusters[Charge existante CPU hors migration],MATCH($B157,tblClusters[Cluster],0)),0)</f>
        <v>0</v>
      </c>
      <c r="H157" s="24">
        <f>IFERROR(INDEX(tblClusters[Charge existante RAM hors migration (Go)],MATCH($B157,tblClusters[Cluster],0)),0)</f>
        <v>0</v>
      </c>
      <c r="I157" s="24">
        <f ca="1">SUMIFS(tblApplications[CPU cible ROKS],tblApplications[Cluster ROKS cible (auto)],$B157,tblApplications[Mois de bascule prevu],"&lt;="&amp;EOMONTH($A157,0),tblApplications[Inclus projection O/N],"O")</f>
        <v>24</v>
      </c>
      <c r="J157" s="24">
        <f ca="1">SUMIFS(tblApplications[RAM cible ROKS],tblApplications[Cluster ROKS cible (auto)],$B157,tblApplications[Mois de bascule prevu],"&lt;="&amp;EOMONTH($A157,0),tblApplications[Inclus projection O/N],"O")</f>
        <v>87</v>
      </c>
      <c r="K157" s="25">
        <f t="shared" ca="1" si="12"/>
        <v>24</v>
      </c>
      <c r="L157" s="25">
        <f t="shared" ca="1" si="13"/>
        <v>87</v>
      </c>
      <c r="M157" s="26">
        <f t="shared" ca="1" si="14"/>
        <v>0.5</v>
      </c>
      <c r="N157" s="26">
        <f t="shared" ca="1" si="15"/>
        <v>0.36249999999999999</v>
      </c>
      <c r="O157" s="22" t="str">
        <f ca="1">IF(E157=0,IF(K157&gt;0,"Cluster sans capacite provisionnee","n/a"),IF(OR(M157&gt;=Clusters_ROKS!$AC$5,N157&gt;=Clusters_ROKS!$AC$5),"Seuil depasse","OK"))</f>
        <v>OK</v>
      </c>
      <c r="P157" s="25">
        <f t="shared" ca="1" si="16"/>
        <v>0</v>
      </c>
      <c r="Q157" s="25">
        <f t="shared" ca="1" si="17"/>
        <v>0</v>
      </c>
      <c r="R157" s="24">
        <f ca="1">IF(AND(P157=0,Q157=0),0,IFERROR(MAX(ROUNDUP(P157/INDEX(tblClusters[vCPU / noeud (deduit)],MATCH($B157,tblClusters[Cluster],0)),0),ROUNDUP(Q157/INDEX(tblClusters[RAM / noeud - Go (deduit)],MATCH($B157,tblClusters[Cluster],0)),0)),"Flavor a definir"))</f>
        <v>0</v>
      </c>
    </row>
    <row r="158" spans="1:18" x14ac:dyDescent="0.2">
      <c r="A158" s="38">
        <v>46661</v>
      </c>
      <c r="B158" s="21" t="s">
        <v>178</v>
      </c>
      <c r="C158" s="28" t="str">
        <f>IFERROR(INDEX(tblClusters[Utilisation],MATCH($B158,tblClusters[Cluster],0)),"")</f>
        <v>EMEA Secret Prod</v>
      </c>
      <c r="D158" s="28" t="str">
        <f>IFERROR(INDEX(tblClusters[Type (deduit)],MATCH($B158,tblClusters[Cluster],0)),"")</f>
        <v>Dedie</v>
      </c>
      <c r="E158" s="24">
        <f>IFERROR(INDEX(tblClusters[CPU max (cores)],MATCH($B158,tblClusters[Cluster],0)),0)</f>
        <v>48</v>
      </c>
      <c r="F158" s="24">
        <f>IFERROR(INDEX(tblClusters[RAM max (Go)],MATCH($B158,tblClusters[Cluster],0)),0)</f>
        <v>240</v>
      </c>
      <c r="G158" s="24">
        <f>IFERROR(INDEX(tblClusters[Charge existante CPU hors migration],MATCH($B158,tblClusters[Cluster],0)),0)</f>
        <v>0</v>
      </c>
      <c r="H158" s="24">
        <f>IFERROR(INDEX(tblClusters[Charge existante RAM hors migration (Go)],MATCH($B158,tblClusters[Cluster],0)),0)</f>
        <v>0</v>
      </c>
      <c r="I158" s="24">
        <f ca="1">SUMIFS(tblApplications[CPU cible ROKS],tblApplications[Cluster ROKS cible (auto)],$B158,tblApplications[Mois de bascule prevu],"&lt;="&amp;EOMONTH($A158,0),tblApplications[Inclus projection O/N],"O")</f>
        <v>24</v>
      </c>
      <c r="J158" s="24">
        <f ca="1">SUMIFS(tblApplications[RAM cible ROKS],tblApplications[Cluster ROKS cible (auto)],$B158,tblApplications[Mois de bascule prevu],"&lt;="&amp;EOMONTH($A158,0),tblApplications[Inclus projection O/N],"O")</f>
        <v>87</v>
      </c>
      <c r="K158" s="25">
        <f t="shared" ca="1" si="12"/>
        <v>24</v>
      </c>
      <c r="L158" s="25">
        <f t="shared" ca="1" si="13"/>
        <v>87</v>
      </c>
      <c r="M158" s="26">
        <f t="shared" ca="1" si="14"/>
        <v>0.5</v>
      </c>
      <c r="N158" s="26">
        <f t="shared" ca="1" si="15"/>
        <v>0.36249999999999999</v>
      </c>
      <c r="O158" s="22" t="str">
        <f ca="1">IF(E158=0,IF(K158&gt;0,"Cluster sans capacite provisionnee","n/a"),IF(OR(M158&gt;=Clusters_ROKS!$AC$5,N158&gt;=Clusters_ROKS!$AC$5),"Seuil depasse","OK"))</f>
        <v>OK</v>
      </c>
      <c r="P158" s="25">
        <f t="shared" ca="1" si="16"/>
        <v>0</v>
      </c>
      <c r="Q158" s="25">
        <f t="shared" ca="1" si="17"/>
        <v>0</v>
      </c>
      <c r="R158" s="24">
        <f ca="1">IF(AND(P158=0,Q158=0),0,IFERROR(MAX(ROUNDUP(P158/INDEX(tblClusters[vCPU / noeud (deduit)],MATCH($B158,tblClusters[Cluster],0)),0),ROUNDUP(Q158/INDEX(tblClusters[RAM / noeud - Go (deduit)],MATCH($B158,tblClusters[Cluster],0)),0)),"Flavor a definir"))</f>
        <v>0</v>
      </c>
    </row>
    <row r="159" spans="1:18" x14ac:dyDescent="0.2">
      <c r="A159" s="38">
        <v>46692</v>
      </c>
      <c r="B159" s="21" t="s">
        <v>178</v>
      </c>
      <c r="C159" s="28" t="str">
        <f>IFERROR(INDEX(tblClusters[Utilisation],MATCH($B159,tblClusters[Cluster],0)),"")</f>
        <v>EMEA Secret Prod</v>
      </c>
      <c r="D159" s="28" t="str">
        <f>IFERROR(INDEX(tblClusters[Type (deduit)],MATCH($B159,tblClusters[Cluster],0)),"")</f>
        <v>Dedie</v>
      </c>
      <c r="E159" s="24">
        <f>IFERROR(INDEX(tblClusters[CPU max (cores)],MATCH($B159,tblClusters[Cluster],0)),0)</f>
        <v>48</v>
      </c>
      <c r="F159" s="24">
        <f>IFERROR(INDEX(tblClusters[RAM max (Go)],MATCH($B159,tblClusters[Cluster],0)),0)</f>
        <v>240</v>
      </c>
      <c r="G159" s="24">
        <f>IFERROR(INDEX(tblClusters[Charge existante CPU hors migration],MATCH($B159,tblClusters[Cluster],0)),0)</f>
        <v>0</v>
      </c>
      <c r="H159" s="24">
        <f>IFERROR(INDEX(tblClusters[Charge existante RAM hors migration (Go)],MATCH($B159,tblClusters[Cluster],0)),0)</f>
        <v>0</v>
      </c>
      <c r="I159" s="24">
        <f ca="1">SUMIFS(tblApplications[CPU cible ROKS],tblApplications[Cluster ROKS cible (auto)],$B159,tblApplications[Mois de bascule prevu],"&lt;="&amp;EOMONTH($A159,0),tblApplications[Inclus projection O/N],"O")</f>
        <v>24</v>
      </c>
      <c r="J159" s="24">
        <f ca="1">SUMIFS(tblApplications[RAM cible ROKS],tblApplications[Cluster ROKS cible (auto)],$B159,tblApplications[Mois de bascule prevu],"&lt;="&amp;EOMONTH($A159,0),tblApplications[Inclus projection O/N],"O")</f>
        <v>87</v>
      </c>
      <c r="K159" s="25">
        <f t="shared" ca="1" si="12"/>
        <v>24</v>
      </c>
      <c r="L159" s="25">
        <f t="shared" ca="1" si="13"/>
        <v>87</v>
      </c>
      <c r="M159" s="26">
        <f t="shared" ca="1" si="14"/>
        <v>0.5</v>
      </c>
      <c r="N159" s="26">
        <f t="shared" ca="1" si="15"/>
        <v>0.36249999999999999</v>
      </c>
      <c r="O159" s="22" t="str">
        <f ca="1">IF(E159=0,IF(K159&gt;0,"Cluster sans capacite provisionnee","n/a"),IF(OR(M159&gt;=Clusters_ROKS!$AC$5,N159&gt;=Clusters_ROKS!$AC$5),"Seuil depasse","OK"))</f>
        <v>OK</v>
      </c>
      <c r="P159" s="25">
        <f t="shared" ca="1" si="16"/>
        <v>0</v>
      </c>
      <c r="Q159" s="25">
        <f t="shared" ca="1" si="17"/>
        <v>0</v>
      </c>
      <c r="R159" s="24">
        <f ca="1">IF(AND(P159=0,Q159=0),0,IFERROR(MAX(ROUNDUP(P159/INDEX(tblClusters[vCPU / noeud (deduit)],MATCH($B159,tblClusters[Cluster],0)),0),ROUNDUP(Q159/INDEX(tblClusters[RAM / noeud - Go (deduit)],MATCH($B159,tblClusters[Cluster],0)),0)),"Flavor a definir"))</f>
        <v>0</v>
      </c>
    </row>
    <row r="160" spans="1:18" x14ac:dyDescent="0.2">
      <c r="A160" s="38">
        <v>46722</v>
      </c>
      <c r="B160" s="21" t="s">
        <v>178</v>
      </c>
      <c r="C160" s="28" t="str">
        <f>IFERROR(INDEX(tblClusters[Utilisation],MATCH($B160,tblClusters[Cluster],0)),"")</f>
        <v>EMEA Secret Prod</v>
      </c>
      <c r="D160" s="28" t="str">
        <f>IFERROR(INDEX(tblClusters[Type (deduit)],MATCH($B160,tblClusters[Cluster],0)),"")</f>
        <v>Dedie</v>
      </c>
      <c r="E160" s="24">
        <f>IFERROR(INDEX(tblClusters[CPU max (cores)],MATCH($B160,tblClusters[Cluster],0)),0)</f>
        <v>48</v>
      </c>
      <c r="F160" s="24">
        <f>IFERROR(INDEX(tblClusters[RAM max (Go)],MATCH($B160,tblClusters[Cluster],0)),0)</f>
        <v>240</v>
      </c>
      <c r="G160" s="24">
        <f>IFERROR(INDEX(tblClusters[Charge existante CPU hors migration],MATCH($B160,tblClusters[Cluster],0)),0)</f>
        <v>0</v>
      </c>
      <c r="H160" s="24">
        <f>IFERROR(INDEX(tblClusters[Charge existante RAM hors migration (Go)],MATCH($B160,tblClusters[Cluster],0)),0)</f>
        <v>0</v>
      </c>
      <c r="I160" s="24">
        <f ca="1">SUMIFS(tblApplications[CPU cible ROKS],tblApplications[Cluster ROKS cible (auto)],$B160,tblApplications[Mois de bascule prevu],"&lt;="&amp;EOMONTH($A160,0),tblApplications[Inclus projection O/N],"O")</f>
        <v>24</v>
      </c>
      <c r="J160" s="24">
        <f ca="1">SUMIFS(tblApplications[RAM cible ROKS],tblApplications[Cluster ROKS cible (auto)],$B160,tblApplications[Mois de bascule prevu],"&lt;="&amp;EOMONTH($A160,0),tblApplications[Inclus projection O/N],"O")</f>
        <v>87</v>
      </c>
      <c r="K160" s="25">
        <f t="shared" ca="1" si="12"/>
        <v>24</v>
      </c>
      <c r="L160" s="25">
        <f t="shared" ca="1" si="13"/>
        <v>87</v>
      </c>
      <c r="M160" s="26">
        <f t="shared" ca="1" si="14"/>
        <v>0.5</v>
      </c>
      <c r="N160" s="26">
        <f t="shared" ca="1" si="15"/>
        <v>0.36249999999999999</v>
      </c>
      <c r="O160" s="22" t="str">
        <f ca="1">IF(E160=0,IF(K160&gt;0,"Cluster sans capacite provisionnee","n/a"),IF(OR(M160&gt;=Clusters_ROKS!$AC$5,N160&gt;=Clusters_ROKS!$AC$5),"Seuil depasse","OK"))</f>
        <v>OK</v>
      </c>
      <c r="P160" s="25">
        <f t="shared" ca="1" si="16"/>
        <v>0</v>
      </c>
      <c r="Q160" s="25">
        <f t="shared" ca="1" si="17"/>
        <v>0</v>
      </c>
      <c r="R160" s="24">
        <f ca="1">IF(AND(P160=0,Q160=0),0,IFERROR(MAX(ROUNDUP(P160/INDEX(tblClusters[vCPU / noeud (deduit)],MATCH($B160,tblClusters[Cluster],0)),0),ROUNDUP(Q160/INDEX(tblClusters[RAM / noeud - Go (deduit)],MATCH($B160,tblClusters[Cluster],0)),0)),"Flavor a definir"))</f>
        <v>0</v>
      </c>
    </row>
    <row r="161" spans="1:18" x14ac:dyDescent="0.2">
      <c r="A161" s="38">
        <v>46388</v>
      </c>
      <c r="B161" s="21" t="s">
        <v>180</v>
      </c>
      <c r="C161" s="28" t="str">
        <f>IFERROR(INDEX(tblClusters[Utilisation],MATCH($B161,tblClusters[Cluster],0)),"")</f>
        <v>JUMP AEP PROD</v>
      </c>
      <c r="D161" s="28" t="str">
        <f>IFERROR(INDEX(tblClusters[Type (deduit)],MATCH($B161,tblClusters[Cluster],0)),"")</f>
        <v>Dedie</v>
      </c>
      <c r="E161" s="24">
        <f>IFERROR(INDEX(tblClusters[CPU max (cores)],MATCH($B161,tblClusters[Cluster],0)),0)</f>
        <v>0</v>
      </c>
      <c r="F161" s="24">
        <f>IFERROR(INDEX(tblClusters[RAM max (Go)],MATCH($B161,tblClusters[Cluster],0)),0)</f>
        <v>0</v>
      </c>
      <c r="G161" s="24">
        <f>IFERROR(INDEX(tblClusters[Charge existante CPU hors migration],MATCH($B161,tblClusters[Cluster],0)),0)</f>
        <v>0</v>
      </c>
      <c r="H161" s="24">
        <f>IFERROR(INDEX(tblClusters[Charge existante RAM hors migration (Go)],MATCH($B161,tblClusters[Cluster],0)),0)</f>
        <v>0</v>
      </c>
      <c r="I161" s="24">
        <f ca="1">SUMIFS(tblApplications[CPU cible ROKS],tblApplications[Cluster ROKS cible (auto)],$B161,tblApplications[Mois de bascule prevu],"&lt;="&amp;EOMONTH($A161,0),tblApplications[Inclus projection O/N],"O")</f>
        <v>12</v>
      </c>
      <c r="J161" s="24">
        <f ca="1">SUMIFS(tblApplications[RAM cible ROKS],tblApplications[Cluster ROKS cible (auto)],$B161,tblApplications[Mois de bascule prevu],"&lt;="&amp;EOMONTH($A161,0),tblApplications[Inclus projection O/N],"O")</f>
        <v>48</v>
      </c>
      <c r="K161" s="25">
        <f t="shared" ca="1" si="12"/>
        <v>12</v>
      </c>
      <c r="L161" s="25">
        <f t="shared" ca="1" si="13"/>
        <v>48</v>
      </c>
      <c r="M161" s="26" t="str">
        <f t="shared" si="14"/>
        <v/>
      </c>
      <c r="N161" s="26" t="str">
        <f t="shared" si="15"/>
        <v/>
      </c>
      <c r="O161" s="22" t="str">
        <f ca="1">IF(E161=0,IF(K161&gt;0,"Cluster sans capacite provisionnee","n/a"),IF(OR(M161&gt;=Clusters_ROKS!$AC$5,N161&gt;=Clusters_ROKS!$AC$5),"Seuil depasse","OK"))</f>
        <v>Cluster sans capacite provisionnee</v>
      </c>
      <c r="P161" s="25">
        <f t="shared" ca="1" si="16"/>
        <v>12</v>
      </c>
      <c r="Q161" s="25">
        <f t="shared" ca="1" si="17"/>
        <v>48</v>
      </c>
      <c r="R161" s="24" t="str">
        <f ca="1">IF(AND(P161=0,Q161=0),0,IFERROR(MAX(ROUNDUP(P161/INDEX(tblClusters[vCPU / noeud (deduit)],MATCH($B161,tblClusters[Cluster],0)),0),ROUNDUP(Q161/INDEX(tblClusters[RAM / noeud - Go (deduit)],MATCH($B161,tblClusters[Cluster],0)),0)),"Flavor a definir"))</f>
        <v>Flavor a definir</v>
      </c>
    </row>
    <row r="162" spans="1:18" x14ac:dyDescent="0.2">
      <c r="A162" s="38">
        <v>46419</v>
      </c>
      <c r="B162" s="21" t="s">
        <v>180</v>
      </c>
      <c r="C162" s="28" t="str">
        <f>IFERROR(INDEX(tblClusters[Utilisation],MATCH($B162,tblClusters[Cluster],0)),"")</f>
        <v>JUMP AEP PROD</v>
      </c>
      <c r="D162" s="28" t="str">
        <f>IFERROR(INDEX(tblClusters[Type (deduit)],MATCH($B162,tblClusters[Cluster],0)),"")</f>
        <v>Dedie</v>
      </c>
      <c r="E162" s="24">
        <f>IFERROR(INDEX(tblClusters[CPU max (cores)],MATCH($B162,tblClusters[Cluster],0)),0)</f>
        <v>0</v>
      </c>
      <c r="F162" s="24">
        <f>IFERROR(INDEX(tblClusters[RAM max (Go)],MATCH($B162,tblClusters[Cluster],0)),0)</f>
        <v>0</v>
      </c>
      <c r="G162" s="24">
        <f>IFERROR(INDEX(tblClusters[Charge existante CPU hors migration],MATCH($B162,tblClusters[Cluster],0)),0)</f>
        <v>0</v>
      </c>
      <c r="H162" s="24">
        <f>IFERROR(INDEX(tblClusters[Charge existante RAM hors migration (Go)],MATCH($B162,tblClusters[Cluster],0)),0)</f>
        <v>0</v>
      </c>
      <c r="I162" s="24">
        <f ca="1">SUMIFS(tblApplications[CPU cible ROKS],tblApplications[Cluster ROKS cible (auto)],$B162,tblApplications[Mois de bascule prevu],"&lt;="&amp;EOMONTH($A162,0),tblApplications[Inclus projection O/N],"O")</f>
        <v>12</v>
      </c>
      <c r="J162" s="24">
        <f ca="1">SUMIFS(tblApplications[RAM cible ROKS],tblApplications[Cluster ROKS cible (auto)],$B162,tblApplications[Mois de bascule prevu],"&lt;="&amp;EOMONTH($A162,0),tblApplications[Inclus projection O/N],"O")</f>
        <v>48</v>
      </c>
      <c r="K162" s="25">
        <f t="shared" ca="1" si="12"/>
        <v>12</v>
      </c>
      <c r="L162" s="25">
        <f t="shared" ca="1" si="13"/>
        <v>48</v>
      </c>
      <c r="M162" s="26" t="str">
        <f t="shared" si="14"/>
        <v/>
      </c>
      <c r="N162" s="26" t="str">
        <f t="shared" si="15"/>
        <v/>
      </c>
      <c r="O162" s="22" t="str">
        <f ca="1">IF(E162=0,IF(K162&gt;0,"Cluster sans capacite provisionnee","n/a"),IF(OR(M162&gt;=Clusters_ROKS!$AC$5,N162&gt;=Clusters_ROKS!$AC$5),"Seuil depasse","OK"))</f>
        <v>Cluster sans capacite provisionnee</v>
      </c>
      <c r="P162" s="25">
        <f t="shared" ca="1" si="16"/>
        <v>12</v>
      </c>
      <c r="Q162" s="25">
        <f t="shared" ca="1" si="17"/>
        <v>48</v>
      </c>
      <c r="R162" s="24" t="str">
        <f ca="1">IF(AND(P162=0,Q162=0),0,IFERROR(MAX(ROUNDUP(P162/INDEX(tblClusters[vCPU / noeud (deduit)],MATCH($B162,tblClusters[Cluster],0)),0),ROUNDUP(Q162/INDEX(tblClusters[RAM / noeud - Go (deduit)],MATCH($B162,tblClusters[Cluster],0)),0)),"Flavor a definir"))</f>
        <v>Flavor a definir</v>
      </c>
    </row>
    <row r="163" spans="1:18" x14ac:dyDescent="0.2">
      <c r="A163" s="38">
        <v>46447</v>
      </c>
      <c r="B163" s="21" t="s">
        <v>180</v>
      </c>
      <c r="C163" s="28" t="str">
        <f>IFERROR(INDEX(tblClusters[Utilisation],MATCH($B163,tblClusters[Cluster],0)),"")</f>
        <v>JUMP AEP PROD</v>
      </c>
      <c r="D163" s="28" t="str">
        <f>IFERROR(INDEX(tblClusters[Type (deduit)],MATCH($B163,tblClusters[Cluster],0)),"")</f>
        <v>Dedie</v>
      </c>
      <c r="E163" s="24">
        <f>IFERROR(INDEX(tblClusters[CPU max (cores)],MATCH($B163,tblClusters[Cluster],0)),0)</f>
        <v>0</v>
      </c>
      <c r="F163" s="24">
        <f>IFERROR(INDEX(tblClusters[RAM max (Go)],MATCH($B163,tblClusters[Cluster],0)),0)</f>
        <v>0</v>
      </c>
      <c r="G163" s="24">
        <f>IFERROR(INDEX(tblClusters[Charge existante CPU hors migration],MATCH($B163,tblClusters[Cluster],0)),0)</f>
        <v>0</v>
      </c>
      <c r="H163" s="24">
        <f>IFERROR(INDEX(tblClusters[Charge existante RAM hors migration (Go)],MATCH($B163,tblClusters[Cluster],0)),0)</f>
        <v>0</v>
      </c>
      <c r="I163" s="24">
        <f ca="1">SUMIFS(tblApplications[CPU cible ROKS],tblApplications[Cluster ROKS cible (auto)],$B163,tblApplications[Mois de bascule prevu],"&lt;="&amp;EOMONTH($A163,0),tblApplications[Inclus projection O/N],"O")</f>
        <v>12</v>
      </c>
      <c r="J163" s="24">
        <f ca="1">SUMIFS(tblApplications[RAM cible ROKS],tblApplications[Cluster ROKS cible (auto)],$B163,tblApplications[Mois de bascule prevu],"&lt;="&amp;EOMONTH($A163,0),tblApplications[Inclus projection O/N],"O")</f>
        <v>48</v>
      </c>
      <c r="K163" s="25">
        <f t="shared" ca="1" si="12"/>
        <v>12</v>
      </c>
      <c r="L163" s="25">
        <f t="shared" ca="1" si="13"/>
        <v>48</v>
      </c>
      <c r="M163" s="26" t="str">
        <f t="shared" si="14"/>
        <v/>
      </c>
      <c r="N163" s="26" t="str">
        <f t="shared" si="15"/>
        <v/>
      </c>
      <c r="O163" s="22" t="str">
        <f ca="1">IF(E163=0,IF(K163&gt;0,"Cluster sans capacite provisionnee","n/a"),IF(OR(M163&gt;=Clusters_ROKS!$AC$5,N163&gt;=Clusters_ROKS!$AC$5),"Seuil depasse","OK"))</f>
        <v>Cluster sans capacite provisionnee</v>
      </c>
      <c r="P163" s="25">
        <f t="shared" ca="1" si="16"/>
        <v>12</v>
      </c>
      <c r="Q163" s="25">
        <f t="shared" ca="1" si="17"/>
        <v>48</v>
      </c>
      <c r="R163" s="24" t="str">
        <f ca="1">IF(AND(P163=0,Q163=0),0,IFERROR(MAX(ROUNDUP(P163/INDEX(tblClusters[vCPU / noeud (deduit)],MATCH($B163,tblClusters[Cluster],0)),0),ROUNDUP(Q163/INDEX(tblClusters[RAM / noeud - Go (deduit)],MATCH($B163,tblClusters[Cluster],0)),0)),"Flavor a definir"))</f>
        <v>Flavor a definir</v>
      </c>
    </row>
    <row r="164" spans="1:18" x14ac:dyDescent="0.2">
      <c r="A164" s="38">
        <v>46478</v>
      </c>
      <c r="B164" s="21" t="s">
        <v>180</v>
      </c>
      <c r="C164" s="28" t="str">
        <f>IFERROR(INDEX(tblClusters[Utilisation],MATCH($B164,tblClusters[Cluster],0)),"")</f>
        <v>JUMP AEP PROD</v>
      </c>
      <c r="D164" s="28" t="str">
        <f>IFERROR(INDEX(tblClusters[Type (deduit)],MATCH($B164,tblClusters[Cluster],0)),"")</f>
        <v>Dedie</v>
      </c>
      <c r="E164" s="24">
        <f>IFERROR(INDEX(tblClusters[CPU max (cores)],MATCH($B164,tblClusters[Cluster],0)),0)</f>
        <v>0</v>
      </c>
      <c r="F164" s="24">
        <f>IFERROR(INDEX(tblClusters[RAM max (Go)],MATCH($B164,tblClusters[Cluster],0)),0)</f>
        <v>0</v>
      </c>
      <c r="G164" s="24">
        <f>IFERROR(INDEX(tblClusters[Charge existante CPU hors migration],MATCH($B164,tblClusters[Cluster],0)),0)</f>
        <v>0</v>
      </c>
      <c r="H164" s="24">
        <f>IFERROR(INDEX(tblClusters[Charge existante RAM hors migration (Go)],MATCH($B164,tblClusters[Cluster],0)),0)</f>
        <v>0</v>
      </c>
      <c r="I164" s="24">
        <f ca="1">SUMIFS(tblApplications[CPU cible ROKS],tblApplications[Cluster ROKS cible (auto)],$B164,tblApplications[Mois de bascule prevu],"&lt;="&amp;EOMONTH($A164,0),tblApplications[Inclus projection O/N],"O")</f>
        <v>12</v>
      </c>
      <c r="J164" s="24">
        <f ca="1">SUMIFS(tblApplications[RAM cible ROKS],tblApplications[Cluster ROKS cible (auto)],$B164,tblApplications[Mois de bascule prevu],"&lt;="&amp;EOMONTH($A164,0),tblApplications[Inclus projection O/N],"O")</f>
        <v>48</v>
      </c>
      <c r="K164" s="25">
        <f t="shared" ca="1" si="12"/>
        <v>12</v>
      </c>
      <c r="L164" s="25">
        <f t="shared" ca="1" si="13"/>
        <v>48</v>
      </c>
      <c r="M164" s="26" t="str">
        <f t="shared" si="14"/>
        <v/>
      </c>
      <c r="N164" s="26" t="str">
        <f t="shared" si="15"/>
        <v/>
      </c>
      <c r="O164" s="22" t="str">
        <f ca="1">IF(E164=0,IF(K164&gt;0,"Cluster sans capacite provisionnee","n/a"),IF(OR(M164&gt;=Clusters_ROKS!$AC$5,N164&gt;=Clusters_ROKS!$AC$5),"Seuil depasse","OK"))</f>
        <v>Cluster sans capacite provisionnee</v>
      </c>
      <c r="P164" s="25">
        <f t="shared" ca="1" si="16"/>
        <v>12</v>
      </c>
      <c r="Q164" s="25">
        <f t="shared" ca="1" si="17"/>
        <v>48</v>
      </c>
      <c r="R164" s="24" t="str">
        <f ca="1">IF(AND(P164=0,Q164=0),0,IFERROR(MAX(ROUNDUP(P164/INDEX(tblClusters[vCPU / noeud (deduit)],MATCH($B164,tblClusters[Cluster],0)),0),ROUNDUP(Q164/INDEX(tblClusters[RAM / noeud - Go (deduit)],MATCH($B164,tblClusters[Cluster],0)),0)),"Flavor a definir"))</f>
        <v>Flavor a definir</v>
      </c>
    </row>
    <row r="165" spans="1:18" x14ac:dyDescent="0.2">
      <c r="A165" s="38">
        <v>46508</v>
      </c>
      <c r="B165" s="21" t="s">
        <v>180</v>
      </c>
      <c r="C165" s="28" t="str">
        <f>IFERROR(INDEX(tblClusters[Utilisation],MATCH($B165,tblClusters[Cluster],0)),"")</f>
        <v>JUMP AEP PROD</v>
      </c>
      <c r="D165" s="28" t="str">
        <f>IFERROR(INDEX(tblClusters[Type (deduit)],MATCH($B165,tblClusters[Cluster],0)),"")</f>
        <v>Dedie</v>
      </c>
      <c r="E165" s="24">
        <f>IFERROR(INDEX(tblClusters[CPU max (cores)],MATCH($B165,tblClusters[Cluster],0)),0)</f>
        <v>0</v>
      </c>
      <c r="F165" s="24">
        <f>IFERROR(INDEX(tblClusters[RAM max (Go)],MATCH($B165,tblClusters[Cluster],0)),0)</f>
        <v>0</v>
      </c>
      <c r="G165" s="24">
        <f>IFERROR(INDEX(tblClusters[Charge existante CPU hors migration],MATCH($B165,tblClusters[Cluster],0)),0)</f>
        <v>0</v>
      </c>
      <c r="H165" s="24">
        <f>IFERROR(INDEX(tblClusters[Charge existante RAM hors migration (Go)],MATCH($B165,tblClusters[Cluster],0)),0)</f>
        <v>0</v>
      </c>
      <c r="I165" s="24">
        <f ca="1">SUMIFS(tblApplications[CPU cible ROKS],tblApplications[Cluster ROKS cible (auto)],$B165,tblApplications[Mois de bascule prevu],"&lt;="&amp;EOMONTH($A165,0),tblApplications[Inclus projection O/N],"O")</f>
        <v>12</v>
      </c>
      <c r="J165" s="24">
        <f ca="1">SUMIFS(tblApplications[RAM cible ROKS],tblApplications[Cluster ROKS cible (auto)],$B165,tblApplications[Mois de bascule prevu],"&lt;="&amp;EOMONTH($A165,0),tblApplications[Inclus projection O/N],"O")</f>
        <v>48</v>
      </c>
      <c r="K165" s="25">
        <f t="shared" ca="1" si="12"/>
        <v>12</v>
      </c>
      <c r="L165" s="25">
        <f t="shared" ca="1" si="13"/>
        <v>48</v>
      </c>
      <c r="M165" s="26" t="str">
        <f t="shared" si="14"/>
        <v/>
      </c>
      <c r="N165" s="26" t="str">
        <f t="shared" si="15"/>
        <v/>
      </c>
      <c r="O165" s="22" t="str">
        <f ca="1">IF(E165=0,IF(K165&gt;0,"Cluster sans capacite provisionnee","n/a"),IF(OR(M165&gt;=Clusters_ROKS!$AC$5,N165&gt;=Clusters_ROKS!$AC$5),"Seuil depasse","OK"))</f>
        <v>Cluster sans capacite provisionnee</v>
      </c>
      <c r="P165" s="25">
        <f t="shared" ca="1" si="16"/>
        <v>12</v>
      </c>
      <c r="Q165" s="25">
        <f t="shared" ca="1" si="17"/>
        <v>48</v>
      </c>
      <c r="R165" s="24" t="str">
        <f ca="1">IF(AND(P165=0,Q165=0),0,IFERROR(MAX(ROUNDUP(P165/INDEX(tblClusters[vCPU / noeud (deduit)],MATCH($B165,tblClusters[Cluster],0)),0),ROUNDUP(Q165/INDEX(tblClusters[RAM / noeud - Go (deduit)],MATCH($B165,tblClusters[Cluster],0)),0)),"Flavor a definir"))</f>
        <v>Flavor a definir</v>
      </c>
    </row>
    <row r="166" spans="1:18" x14ac:dyDescent="0.2">
      <c r="A166" s="38">
        <v>46539</v>
      </c>
      <c r="B166" s="21" t="s">
        <v>180</v>
      </c>
      <c r="C166" s="28" t="str">
        <f>IFERROR(INDEX(tblClusters[Utilisation],MATCH($B166,tblClusters[Cluster],0)),"")</f>
        <v>JUMP AEP PROD</v>
      </c>
      <c r="D166" s="28" t="str">
        <f>IFERROR(INDEX(tblClusters[Type (deduit)],MATCH($B166,tblClusters[Cluster],0)),"")</f>
        <v>Dedie</v>
      </c>
      <c r="E166" s="24">
        <f>IFERROR(INDEX(tblClusters[CPU max (cores)],MATCH($B166,tblClusters[Cluster],0)),0)</f>
        <v>0</v>
      </c>
      <c r="F166" s="24">
        <f>IFERROR(INDEX(tblClusters[RAM max (Go)],MATCH($B166,tblClusters[Cluster],0)),0)</f>
        <v>0</v>
      </c>
      <c r="G166" s="24">
        <f>IFERROR(INDEX(tblClusters[Charge existante CPU hors migration],MATCH($B166,tblClusters[Cluster],0)),0)</f>
        <v>0</v>
      </c>
      <c r="H166" s="24">
        <f>IFERROR(INDEX(tblClusters[Charge existante RAM hors migration (Go)],MATCH($B166,tblClusters[Cluster],0)),0)</f>
        <v>0</v>
      </c>
      <c r="I166" s="24">
        <f ca="1">SUMIFS(tblApplications[CPU cible ROKS],tblApplications[Cluster ROKS cible (auto)],$B166,tblApplications[Mois de bascule prevu],"&lt;="&amp;EOMONTH($A166,0),tblApplications[Inclus projection O/N],"O")</f>
        <v>12</v>
      </c>
      <c r="J166" s="24">
        <f ca="1">SUMIFS(tblApplications[RAM cible ROKS],tblApplications[Cluster ROKS cible (auto)],$B166,tblApplications[Mois de bascule prevu],"&lt;="&amp;EOMONTH($A166,0),tblApplications[Inclus projection O/N],"O")</f>
        <v>48</v>
      </c>
      <c r="K166" s="25">
        <f t="shared" ca="1" si="12"/>
        <v>12</v>
      </c>
      <c r="L166" s="25">
        <f t="shared" ca="1" si="13"/>
        <v>48</v>
      </c>
      <c r="M166" s="26" t="str">
        <f t="shared" si="14"/>
        <v/>
      </c>
      <c r="N166" s="26" t="str">
        <f t="shared" si="15"/>
        <v/>
      </c>
      <c r="O166" s="22" t="str">
        <f ca="1">IF(E166=0,IF(K166&gt;0,"Cluster sans capacite provisionnee","n/a"),IF(OR(M166&gt;=Clusters_ROKS!$AC$5,N166&gt;=Clusters_ROKS!$AC$5),"Seuil depasse","OK"))</f>
        <v>Cluster sans capacite provisionnee</v>
      </c>
      <c r="P166" s="25">
        <f t="shared" ca="1" si="16"/>
        <v>12</v>
      </c>
      <c r="Q166" s="25">
        <f t="shared" ca="1" si="17"/>
        <v>48</v>
      </c>
      <c r="R166" s="24" t="str">
        <f ca="1">IF(AND(P166=0,Q166=0),0,IFERROR(MAX(ROUNDUP(P166/INDEX(tblClusters[vCPU / noeud (deduit)],MATCH($B166,tblClusters[Cluster],0)),0),ROUNDUP(Q166/INDEX(tblClusters[RAM / noeud - Go (deduit)],MATCH($B166,tblClusters[Cluster],0)),0)),"Flavor a definir"))</f>
        <v>Flavor a definir</v>
      </c>
    </row>
    <row r="167" spans="1:18" x14ac:dyDescent="0.2">
      <c r="A167" s="38">
        <v>46569</v>
      </c>
      <c r="B167" s="21" t="s">
        <v>180</v>
      </c>
      <c r="C167" s="28" t="str">
        <f>IFERROR(INDEX(tblClusters[Utilisation],MATCH($B167,tblClusters[Cluster],0)),"")</f>
        <v>JUMP AEP PROD</v>
      </c>
      <c r="D167" s="28" t="str">
        <f>IFERROR(INDEX(tblClusters[Type (deduit)],MATCH($B167,tblClusters[Cluster],0)),"")</f>
        <v>Dedie</v>
      </c>
      <c r="E167" s="24">
        <f>IFERROR(INDEX(tblClusters[CPU max (cores)],MATCH($B167,tblClusters[Cluster],0)),0)</f>
        <v>0</v>
      </c>
      <c r="F167" s="24">
        <f>IFERROR(INDEX(tblClusters[RAM max (Go)],MATCH($B167,tblClusters[Cluster],0)),0)</f>
        <v>0</v>
      </c>
      <c r="G167" s="24">
        <f>IFERROR(INDEX(tblClusters[Charge existante CPU hors migration],MATCH($B167,tblClusters[Cluster],0)),0)</f>
        <v>0</v>
      </c>
      <c r="H167" s="24">
        <f>IFERROR(INDEX(tblClusters[Charge existante RAM hors migration (Go)],MATCH($B167,tblClusters[Cluster],0)),0)</f>
        <v>0</v>
      </c>
      <c r="I167" s="24">
        <f ca="1">SUMIFS(tblApplications[CPU cible ROKS],tblApplications[Cluster ROKS cible (auto)],$B167,tblApplications[Mois de bascule prevu],"&lt;="&amp;EOMONTH($A167,0),tblApplications[Inclus projection O/N],"O")</f>
        <v>12</v>
      </c>
      <c r="J167" s="24">
        <f ca="1">SUMIFS(tblApplications[RAM cible ROKS],tblApplications[Cluster ROKS cible (auto)],$B167,tblApplications[Mois de bascule prevu],"&lt;="&amp;EOMONTH($A167,0),tblApplications[Inclus projection O/N],"O")</f>
        <v>48</v>
      </c>
      <c r="K167" s="25">
        <f t="shared" ca="1" si="12"/>
        <v>12</v>
      </c>
      <c r="L167" s="25">
        <f t="shared" ca="1" si="13"/>
        <v>48</v>
      </c>
      <c r="M167" s="26" t="str">
        <f t="shared" si="14"/>
        <v/>
      </c>
      <c r="N167" s="26" t="str">
        <f t="shared" si="15"/>
        <v/>
      </c>
      <c r="O167" s="22" t="str">
        <f ca="1">IF(E167=0,IF(K167&gt;0,"Cluster sans capacite provisionnee","n/a"),IF(OR(M167&gt;=Clusters_ROKS!$AC$5,N167&gt;=Clusters_ROKS!$AC$5),"Seuil depasse","OK"))</f>
        <v>Cluster sans capacite provisionnee</v>
      </c>
      <c r="P167" s="25">
        <f t="shared" ca="1" si="16"/>
        <v>12</v>
      </c>
      <c r="Q167" s="25">
        <f t="shared" ca="1" si="17"/>
        <v>48</v>
      </c>
      <c r="R167" s="24" t="str">
        <f ca="1">IF(AND(P167=0,Q167=0),0,IFERROR(MAX(ROUNDUP(P167/INDEX(tblClusters[vCPU / noeud (deduit)],MATCH($B167,tblClusters[Cluster],0)),0),ROUNDUP(Q167/INDEX(tblClusters[RAM / noeud - Go (deduit)],MATCH($B167,tblClusters[Cluster],0)),0)),"Flavor a definir"))</f>
        <v>Flavor a definir</v>
      </c>
    </row>
    <row r="168" spans="1:18" x14ac:dyDescent="0.2">
      <c r="A168" s="38">
        <v>46600</v>
      </c>
      <c r="B168" s="21" t="s">
        <v>180</v>
      </c>
      <c r="C168" s="28" t="str">
        <f>IFERROR(INDEX(tblClusters[Utilisation],MATCH($B168,tblClusters[Cluster],0)),"")</f>
        <v>JUMP AEP PROD</v>
      </c>
      <c r="D168" s="28" t="str">
        <f>IFERROR(INDEX(tblClusters[Type (deduit)],MATCH($B168,tblClusters[Cluster],0)),"")</f>
        <v>Dedie</v>
      </c>
      <c r="E168" s="24">
        <f>IFERROR(INDEX(tblClusters[CPU max (cores)],MATCH($B168,tblClusters[Cluster],0)),0)</f>
        <v>0</v>
      </c>
      <c r="F168" s="24">
        <f>IFERROR(INDEX(tblClusters[RAM max (Go)],MATCH($B168,tblClusters[Cluster],0)),0)</f>
        <v>0</v>
      </c>
      <c r="G168" s="24">
        <f>IFERROR(INDEX(tblClusters[Charge existante CPU hors migration],MATCH($B168,tblClusters[Cluster],0)),0)</f>
        <v>0</v>
      </c>
      <c r="H168" s="24">
        <f>IFERROR(INDEX(tblClusters[Charge existante RAM hors migration (Go)],MATCH($B168,tblClusters[Cluster],0)),0)</f>
        <v>0</v>
      </c>
      <c r="I168" s="24">
        <f ca="1">SUMIFS(tblApplications[CPU cible ROKS],tblApplications[Cluster ROKS cible (auto)],$B168,tblApplications[Mois de bascule prevu],"&lt;="&amp;EOMONTH($A168,0),tblApplications[Inclus projection O/N],"O")</f>
        <v>12</v>
      </c>
      <c r="J168" s="24">
        <f ca="1">SUMIFS(tblApplications[RAM cible ROKS],tblApplications[Cluster ROKS cible (auto)],$B168,tblApplications[Mois de bascule prevu],"&lt;="&amp;EOMONTH($A168,0),tblApplications[Inclus projection O/N],"O")</f>
        <v>48</v>
      </c>
      <c r="K168" s="25">
        <f t="shared" ca="1" si="12"/>
        <v>12</v>
      </c>
      <c r="L168" s="25">
        <f t="shared" ca="1" si="13"/>
        <v>48</v>
      </c>
      <c r="M168" s="26" t="str">
        <f t="shared" si="14"/>
        <v/>
      </c>
      <c r="N168" s="26" t="str">
        <f t="shared" si="15"/>
        <v/>
      </c>
      <c r="O168" s="22" t="str">
        <f ca="1">IF(E168=0,IF(K168&gt;0,"Cluster sans capacite provisionnee","n/a"),IF(OR(M168&gt;=Clusters_ROKS!$AC$5,N168&gt;=Clusters_ROKS!$AC$5),"Seuil depasse","OK"))</f>
        <v>Cluster sans capacite provisionnee</v>
      </c>
      <c r="P168" s="25">
        <f t="shared" ca="1" si="16"/>
        <v>12</v>
      </c>
      <c r="Q168" s="25">
        <f t="shared" ca="1" si="17"/>
        <v>48</v>
      </c>
      <c r="R168" s="24" t="str">
        <f ca="1">IF(AND(P168=0,Q168=0),0,IFERROR(MAX(ROUNDUP(P168/INDEX(tblClusters[vCPU / noeud (deduit)],MATCH($B168,tblClusters[Cluster],0)),0),ROUNDUP(Q168/INDEX(tblClusters[RAM / noeud - Go (deduit)],MATCH($B168,tblClusters[Cluster],0)),0)),"Flavor a definir"))</f>
        <v>Flavor a definir</v>
      </c>
    </row>
    <row r="169" spans="1:18" x14ac:dyDescent="0.2">
      <c r="A169" s="38">
        <v>46631</v>
      </c>
      <c r="B169" s="21" t="s">
        <v>180</v>
      </c>
      <c r="C169" s="28" t="str">
        <f>IFERROR(INDEX(tblClusters[Utilisation],MATCH($B169,tblClusters[Cluster],0)),"")</f>
        <v>JUMP AEP PROD</v>
      </c>
      <c r="D169" s="28" t="str">
        <f>IFERROR(INDEX(tblClusters[Type (deduit)],MATCH($B169,tblClusters[Cluster],0)),"")</f>
        <v>Dedie</v>
      </c>
      <c r="E169" s="24">
        <f>IFERROR(INDEX(tblClusters[CPU max (cores)],MATCH($B169,tblClusters[Cluster],0)),0)</f>
        <v>0</v>
      </c>
      <c r="F169" s="24">
        <f>IFERROR(INDEX(tblClusters[RAM max (Go)],MATCH($B169,tblClusters[Cluster],0)),0)</f>
        <v>0</v>
      </c>
      <c r="G169" s="24">
        <f>IFERROR(INDEX(tblClusters[Charge existante CPU hors migration],MATCH($B169,tblClusters[Cluster],0)),0)</f>
        <v>0</v>
      </c>
      <c r="H169" s="24">
        <f>IFERROR(INDEX(tblClusters[Charge existante RAM hors migration (Go)],MATCH($B169,tblClusters[Cluster],0)),0)</f>
        <v>0</v>
      </c>
      <c r="I169" s="24">
        <f ca="1">SUMIFS(tblApplications[CPU cible ROKS],tblApplications[Cluster ROKS cible (auto)],$B169,tblApplications[Mois de bascule prevu],"&lt;="&amp;EOMONTH($A169,0),tblApplications[Inclus projection O/N],"O")</f>
        <v>12</v>
      </c>
      <c r="J169" s="24">
        <f ca="1">SUMIFS(tblApplications[RAM cible ROKS],tblApplications[Cluster ROKS cible (auto)],$B169,tblApplications[Mois de bascule prevu],"&lt;="&amp;EOMONTH($A169,0),tblApplications[Inclus projection O/N],"O")</f>
        <v>48</v>
      </c>
      <c r="K169" s="25">
        <f t="shared" ca="1" si="12"/>
        <v>12</v>
      </c>
      <c r="L169" s="25">
        <f t="shared" ca="1" si="13"/>
        <v>48</v>
      </c>
      <c r="M169" s="26" t="str">
        <f t="shared" si="14"/>
        <v/>
      </c>
      <c r="N169" s="26" t="str">
        <f t="shared" si="15"/>
        <v/>
      </c>
      <c r="O169" s="22" t="str">
        <f ca="1">IF(E169=0,IF(K169&gt;0,"Cluster sans capacite provisionnee","n/a"),IF(OR(M169&gt;=Clusters_ROKS!$AC$5,N169&gt;=Clusters_ROKS!$AC$5),"Seuil depasse","OK"))</f>
        <v>Cluster sans capacite provisionnee</v>
      </c>
      <c r="P169" s="25">
        <f t="shared" ca="1" si="16"/>
        <v>12</v>
      </c>
      <c r="Q169" s="25">
        <f t="shared" ca="1" si="17"/>
        <v>48</v>
      </c>
      <c r="R169" s="24" t="str">
        <f ca="1">IF(AND(P169=0,Q169=0),0,IFERROR(MAX(ROUNDUP(P169/INDEX(tblClusters[vCPU / noeud (deduit)],MATCH($B169,tblClusters[Cluster],0)),0),ROUNDUP(Q169/INDEX(tblClusters[RAM / noeud - Go (deduit)],MATCH($B169,tblClusters[Cluster],0)),0)),"Flavor a definir"))</f>
        <v>Flavor a definir</v>
      </c>
    </row>
    <row r="170" spans="1:18" x14ac:dyDescent="0.2">
      <c r="A170" s="38">
        <v>46661</v>
      </c>
      <c r="B170" s="21" t="s">
        <v>180</v>
      </c>
      <c r="C170" s="28" t="str">
        <f>IFERROR(INDEX(tblClusters[Utilisation],MATCH($B170,tblClusters[Cluster],0)),"")</f>
        <v>JUMP AEP PROD</v>
      </c>
      <c r="D170" s="28" t="str">
        <f>IFERROR(INDEX(tblClusters[Type (deduit)],MATCH($B170,tblClusters[Cluster],0)),"")</f>
        <v>Dedie</v>
      </c>
      <c r="E170" s="24">
        <f>IFERROR(INDEX(tblClusters[CPU max (cores)],MATCH($B170,tblClusters[Cluster],0)),0)</f>
        <v>0</v>
      </c>
      <c r="F170" s="24">
        <f>IFERROR(INDEX(tblClusters[RAM max (Go)],MATCH($B170,tblClusters[Cluster],0)),0)</f>
        <v>0</v>
      </c>
      <c r="G170" s="24">
        <f>IFERROR(INDEX(tblClusters[Charge existante CPU hors migration],MATCH($B170,tblClusters[Cluster],0)),0)</f>
        <v>0</v>
      </c>
      <c r="H170" s="24">
        <f>IFERROR(INDEX(tblClusters[Charge existante RAM hors migration (Go)],MATCH($B170,tblClusters[Cluster],0)),0)</f>
        <v>0</v>
      </c>
      <c r="I170" s="24">
        <f ca="1">SUMIFS(tblApplications[CPU cible ROKS],tblApplications[Cluster ROKS cible (auto)],$B170,tblApplications[Mois de bascule prevu],"&lt;="&amp;EOMONTH($A170,0),tblApplications[Inclus projection O/N],"O")</f>
        <v>12</v>
      </c>
      <c r="J170" s="24">
        <f ca="1">SUMIFS(tblApplications[RAM cible ROKS],tblApplications[Cluster ROKS cible (auto)],$B170,tblApplications[Mois de bascule prevu],"&lt;="&amp;EOMONTH($A170,0),tblApplications[Inclus projection O/N],"O")</f>
        <v>48</v>
      </c>
      <c r="K170" s="25">
        <f t="shared" ca="1" si="12"/>
        <v>12</v>
      </c>
      <c r="L170" s="25">
        <f t="shared" ca="1" si="13"/>
        <v>48</v>
      </c>
      <c r="M170" s="26" t="str">
        <f t="shared" si="14"/>
        <v/>
      </c>
      <c r="N170" s="26" t="str">
        <f t="shared" si="15"/>
        <v/>
      </c>
      <c r="O170" s="22" t="str">
        <f ca="1">IF(E170=0,IF(K170&gt;0,"Cluster sans capacite provisionnee","n/a"),IF(OR(M170&gt;=Clusters_ROKS!$AC$5,N170&gt;=Clusters_ROKS!$AC$5),"Seuil depasse","OK"))</f>
        <v>Cluster sans capacite provisionnee</v>
      </c>
      <c r="P170" s="25">
        <f t="shared" ca="1" si="16"/>
        <v>12</v>
      </c>
      <c r="Q170" s="25">
        <f t="shared" ca="1" si="17"/>
        <v>48</v>
      </c>
      <c r="R170" s="24" t="str">
        <f ca="1">IF(AND(P170=0,Q170=0),0,IFERROR(MAX(ROUNDUP(P170/INDEX(tblClusters[vCPU / noeud (deduit)],MATCH($B170,tblClusters[Cluster],0)),0),ROUNDUP(Q170/INDEX(tblClusters[RAM / noeud - Go (deduit)],MATCH($B170,tblClusters[Cluster],0)),0)),"Flavor a definir"))</f>
        <v>Flavor a definir</v>
      </c>
    </row>
    <row r="171" spans="1:18" x14ac:dyDescent="0.2">
      <c r="A171" s="38">
        <v>46692</v>
      </c>
      <c r="B171" s="21" t="s">
        <v>180</v>
      </c>
      <c r="C171" s="28" t="str">
        <f>IFERROR(INDEX(tblClusters[Utilisation],MATCH($B171,tblClusters[Cluster],0)),"")</f>
        <v>JUMP AEP PROD</v>
      </c>
      <c r="D171" s="28" t="str">
        <f>IFERROR(INDEX(tblClusters[Type (deduit)],MATCH($B171,tblClusters[Cluster],0)),"")</f>
        <v>Dedie</v>
      </c>
      <c r="E171" s="24">
        <f>IFERROR(INDEX(tblClusters[CPU max (cores)],MATCH($B171,tblClusters[Cluster],0)),0)</f>
        <v>0</v>
      </c>
      <c r="F171" s="24">
        <f>IFERROR(INDEX(tblClusters[RAM max (Go)],MATCH($B171,tblClusters[Cluster],0)),0)</f>
        <v>0</v>
      </c>
      <c r="G171" s="24">
        <f>IFERROR(INDEX(tblClusters[Charge existante CPU hors migration],MATCH($B171,tblClusters[Cluster],0)),0)</f>
        <v>0</v>
      </c>
      <c r="H171" s="24">
        <f>IFERROR(INDEX(tblClusters[Charge existante RAM hors migration (Go)],MATCH($B171,tblClusters[Cluster],0)),0)</f>
        <v>0</v>
      </c>
      <c r="I171" s="24">
        <f ca="1">SUMIFS(tblApplications[CPU cible ROKS],tblApplications[Cluster ROKS cible (auto)],$B171,tblApplications[Mois de bascule prevu],"&lt;="&amp;EOMONTH($A171,0),tblApplications[Inclus projection O/N],"O")</f>
        <v>12</v>
      </c>
      <c r="J171" s="24">
        <f ca="1">SUMIFS(tblApplications[RAM cible ROKS],tblApplications[Cluster ROKS cible (auto)],$B171,tblApplications[Mois de bascule prevu],"&lt;="&amp;EOMONTH($A171,0),tblApplications[Inclus projection O/N],"O")</f>
        <v>48</v>
      </c>
      <c r="K171" s="25">
        <f t="shared" ca="1" si="12"/>
        <v>12</v>
      </c>
      <c r="L171" s="25">
        <f t="shared" ca="1" si="13"/>
        <v>48</v>
      </c>
      <c r="M171" s="26" t="str">
        <f t="shared" si="14"/>
        <v/>
      </c>
      <c r="N171" s="26" t="str">
        <f t="shared" si="15"/>
        <v/>
      </c>
      <c r="O171" s="22" t="str">
        <f ca="1">IF(E171=0,IF(K171&gt;0,"Cluster sans capacite provisionnee","n/a"),IF(OR(M171&gt;=Clusters_ROKS!$AC$5,N171&gt;=Clusters_ROKS!$AC$5),"Seuil depasse","OK"))</f>
        <v>Cluster sans capacite provisionnee</v>
      </c>
      <c r="P171" s="25">
        <f t="shared" ca="1" si="16"/>
        <v>12</v>
      </c>
      <c r="Q171" s="25">
        <f t="shared" ca="1" si="17"/>
        <v>48</v>
      </c>
      <c r="R171" s="24" t="str">
        <f ca="1">IF(AND(P171=0,Q171=0),0,IFERROR(MAX(ROUNDUP(P171/INDEX(tblClusters[vCPU / noeud (deduit)],MATCH($B171,tblClusters[Cluster],0)),0),ROUNDUP(Q171/INDEX(tblClusters[RAM / noeud - Go (deduit)],MATCH($B171,tblClusters[Cluster],0)),0)),"Flavor a definir"))</f>
        <v>Flavor a definir</v>
      </c>
    </row>
    <row r="172" spans="1:18" x14ac:dyDescent="0.2">
      <c r="A172" s="38">
        <v>46722</v>
      </c>
      <c r="B172" s="21" t="s">
        <v>180</v>
      </c>
      <c r="C172" s="28" t="str">
        <f>IFERROR(INDEX(tblClusters[Utilisation],MATCH($B172,tblClusters[Cluster],0)),"")</f>
        <v>JUMP AEP PROD</v>
      </c>
      <c r="D172" s="28" t="str">
        <f>IFERROR(INDEX(tblClusters[Type (deduit)],MATCH($B172,tblClusters[Cluster],0)),"")</f>
        <v>Dedie</v>
      </c>
      <c r="E172" s="24">
        <f>IFERROR(INDEX(tblClusters[CPU max (cores)],MATCH($B172,tblClusters[Cluster],0)),0)</f>
        <v>0</v>
      </c>
      <c r="F172" s="24">
        <f>IFERROR(INDEX(tblClusters[RAM max (Go)],MATCH($B172,tblClusters[Cluster],0)),0)</f>
        <v>0</v>
      </c>
      <c r="G172" s="24">
        <f>IFERROR(INDEX(tblClusters[Charge existante CPU hors migration],MATCH($B172,tblClusters[Cluster],0)),0)</f>
        <v>0</v>
      </c>
      <c r="H172" s="24">
        <f>IFERROR(INDEX(tblClusters[Charge existante RAM hors migration (Go)],MATCH($B172,tblClusters[Cluster],0)),0)</f>
        <v>0</v>
      </c>
      <c r="I172" s="24">
        <f ca="1">SUMIFS(tblApplications[CPU cible ROKS],tblApplications[Cluster ROKS cible (auto)],$B172,tblApplications[Mois de bascule prevu],"&lt;="&amp;EOMONTH($A172,0),tblApplications[Inclus projection O/N],"O")</f>
        <v>12</v>
      </c>
      <c r="J172" s="24">
        <f ca="1">SUMIFS(tblApplications[RAM cible ROKS],tblApplications[Cluster ROKS cible (auto)],$B172,tblApplications[Mois de bascule prevu],"&lt;="&amp;EOMONTH($A172,0),tblApplications[Inclus projection O/N],"O")</f>
        <v>48</v>
      </c>
      <c r="K172" s="25">
        <f t="shared" ca="1" si="12"/>
        <v>12</v>
      </c>
      <c r="L172" s="25">
        <f t="shared" ca="1" si="13"/>
        <v>48</v>
      </c>
      <c r="M172" s="26" t="str">
        <f t="shared" si="14"/>
        <v/>
      </c>
      <c r="N172" s="26" t="str">
        <f t="shared" si="15"/>
        <v/>
      </c>
      <c r="O172" s="22" t="str">
        <f ca="1">IF(E172=0,IF(K172&gt;0,"Cluster sans capacite provisionnee","n/a"),IF(OR(M172&gt;=Clusters_ROKS!$AC$5,N172&gt;=Clusters_ROKS!$AC$5),"Seuil depasse","OK"))</f>
        <v>Cluster sans capacite provisionnee</v>
      </c>
      <c r="P172" s="25">
        <f t="shared" ca="1" si="16"/>
        <v>12</v>
      </c>
      <c r="Q172" s="25">
        <f t="shared" ca="1" si="17"/>
        <v>48</v>
      </c>
      <c r="R172" s="24" t="str">
        <f ca="1">IF(AND(P172=0,Q172=0),0,IFERROR(MAX(ROUNDUP(P172/INDEX(tblClusters[vCPU / noeud (deduit)],MATCH($B172,tblClusters[Cluster],0)),0),ROUNDUP(Q172/INDEX(tblClusters[RAM / noeud - Go (deduit)],MATCH($B172,tblClusters[Cluster],0)),0)),"Flavor a definir"))</f>
        <v>Flavor a definir</v>
      </c>
    </row>
    <row r="173" spans="1:18" x14ac:dyDescent="0.2">
      <c r="A173" s="38">
        <v>46388</v>
      </c>
      <c r="B173" s="21" t="s">
        <v>182</v>
      </c>
      <c r="C173" s="28" t="str">
        <f>IFERROR(INDEX(tblClusters[Utilisation],MATCH($B173,tblClusters[Cluster],0)),"")</f>
        <v>JUMP CLV PROD</v>
      </c>
      <c r="D173" s="28" t="str">
        <f>IFERROR(INDEX(tblClusters[Type (deduit)],MATCH($B173,tblClusters[Cluster],0)),"")</f>
        <v>Dedie</v>
      </c>
      <c r="E173" s="24">
        <f>IFERROR(INDEX(tblClusters[CPU max (cores)],MATCH($B173,tblClusters[Cluster],0)),0)</f>
        <v>0</v>
      </c>
      <c r="F173" s="24">
        <f>IFERROR(INDEX(tblClusters[RAM max (Go)],MATCH($B173,tblClusters[Cluster],0)),0)</f>
        <v>0</v>
      </c>
      <c r="G173" s="24">
        <f>IFERROR(INDEX(tblClusters[Charge existante CPU hors migration],MATCH($B173,tblClusters[Cluster],0)),0)</f>
        <v>0</v>
      </c>
      <c r="H173" s="24">
        <f>IFERROR(INDEX(tblClusters[Charge existante RAM hors migration (Go)],MATCH($B173,tblClusters[Cluster],0)),0)</f>
        <v>0</v>
      </c>
      <c r="I173" s="24">
        <f ca="1">SUMIFS(tblApplications[CPU cible ROKS],tblApplications[Cluster ROKS cible (auto)],$B173,tblApplications[Mois de bascule prevu],"&lt;="&amp;EOMONTH($A173,0),tblApplications[Inclus projection O/N],"O")</f>
        <v>0</v>
      </c>
      <c r="J173" s="24">
        <f ca="1">SUMIFS(tblApplications[RAM cible ROKS],tblApplications[Cluster ROKS cible (auto)],$B173,tblApplications[Mois de bascule prevu],"&lt;="&amp;EOMONTH($A173,0),tblApplications[Inclus projection O/N],"O")</f>
        <v>0</v>
      </c>
      <c r="K173" s="25">
        <f t="shared" ca="1" si="12"/>
        <v>0</v>
      </c>
      <c r="L173" s="25">
        <f t="shared" ca="1" si="13"/>
        <v>0</v>
      </c>
      <c r="M173" s="26" t="str">
        <f t="shared" si="14"/>
        <v/>
      </c>
      <c r="N173" s="26" t="str">
        <f t="shared" si="15"/>
        <v/>
      </c>
      <c r="O173" s="22" t="str">
        <f ca="1">IF(E173=0,IF(K173&gt;0,"Cluster sans capacite provisionnee","n/a"),IF(OR(M173&gt;=Clusters_ROKS!$AC$5,N173&gt;=Clusters_ROKS!$AC$5),"Seuil depasse","OK"))</f>
        <v>n/a</v>
      </c>
      <c r="P173" s="25">
        <f t="shared" ca="1" si="16"/>
        <v>0</v>
      </c>
      <c r="Q173" s="25">
        <f t="shared" ca="1" si="17"/>
        <v>0</v>
      </c>
      <c r="R173" s="24">
        <f ca="1">IF(AND(P173=0,Q173=0),0,IFERROR(MAX(ROUNDUP(P173/INDEX(tblClusters[vCPU / noeud (deduit)],MATCH($B173,tblClusters[Cluster],0)),0),ROUNDUP(Q173/INDEX(tblClusters[RAM / noeud - Go (deduit)],MATCH($B173,tblClusters[Cluster],0)),0)),"Flavor a definir"))</f>
        <v>0</v>
      </c>
    </row>
    <row r="174" spans="1:18" x14ac:dyDescent="0.2">
      <c r="A174" s="38">
        <v>46419</v>
      </c>
      <c r="B174" s="21" t="s">
        <v>182</v>
      </c>
      <c r="C174" s="28" t="str">
        <f>IFERROR(INDEX(tblClusters[Utilisation],MATCH($B174,tblClusters[Cluster],0)),"")</f>
        <v>JUMP CLV PROD</v>
      </c>
      <c r="D174" s="28" t="str">
        <f>IFERROR(INDEX(tblClusters[Type (deduit)],MATCH($B174,tblClusters[Cluster],0)),"")</f>
        <v>Dedie</v>
      </c>
      <c r="E174" s="24">
        <f>IFERROR(INDEX(tblClusters[CPU max (cores)],MATCH($B174,tblClusters[Cluster],0)),0)</f>
        <v>0</v>
      </c>
      <c r="F174" s="24">
        <f>IFERROR(INDEX(tblClusters[RAM max (Go)],MATCH($B174,tblClusters[Cluster],0)),0)</f>
        <v>0</v>
      </c>
      <c r="G174" s="24">
        <f>IFERROR(INDEX(tblClusters[Charge existante CPU hors migration],MATCH($B174,tblClusters[Cluster],0)),0)</f>
        <v>0</v>
      </c>
      <c r="H174" s="24">
        <f>IFERROR(INDEX(tblClusters[Charge existante RAM hors migration (Go)],MATCH($B174,tblClusters[Cluster],0)),0)</f>
        <v>0</v>
      </c>
      <c r="I174" s="24">
        <f ca="1">SUMIFS(tblApplications[CPU cible ROKS],tblApplications[Cluster ROKS cible (auto)],$B174,tblApplications[Mois de bascule prevu],"&lt;="&amp;EOMONTH($A174,0),tblApplications[Inclus projection O/N],"O")</f>
        <v>0</v>
      </c>
      <c r="J174" s="24">
        <f ca="1">SUMIFS(tblApplications[RAM cible ROKS],tblApplications[Cluster ROKS cible (auto)],$B174,tblApplications[Mois de bascule prevu],"&lt;="&amp;EOMONTH($A174,0),tblApplications[Inclus projection O/N],"O")</f>
        <v>0</v>
      </c>
      <c r="K174" s="25">
        <f t="shared" ca="1" si="12"/>
        <v>0</v>
      </c>
      <c r="L174" s="25">
        <f t="shared" ca="1" si="13"/>
        <v>0</v>
      </c>
      <c r="M174" s="26" t="str">
        <f t="shared" si="14"/>
        <v/>
      </c>
      <c r="N174" s="26" t="str">
        <f t="shared" si="15"/>
        <v/>
      </c>
      <c r="O174" s="22" t="str">
        <f ca="1">IF(E174=0,IF(K174&gt;0,"Cluster sans capacite provisionnee","n/a"),IF(OR(M174&gt;=Clusters_ROKS!$AC$5,N174&gt;=Clusters_ROKS!$AC$5),"Seuil depasse","OK"))</f>
        <v>n/a</v>
      </c>
      <c r="P174" s="25">
        <f t="shared" ca="1" si="16"/>
        <v>0</v>
      </c>
      <c r="Q174" s="25">
        <f t="shared" ca="1" si="17"/>
        <v>0</v>
      </c>
      <c r="R174" s="24">
        <f ca="1">IF(AND(P174=0,Q174=0),0,IFERROR(MAX(ROUNDUP(P174/INDEX(tblClusters[vCPU / noeud (deduit)],MATCH($B174,tblClusters[Cluster],0)),0),ROUNDUP(Q174/INDEX(tblClusters[RAM / noeud - Go (deduit)],MATCH($B174,tblClusters[Cluster],0)),0)),"Flavor a definir"))</f>
        <v>0</v>
      </c>
    </row>
    <row r="175" spans="1:18" x14ac:dyDescent="0.2">
      <c r="A175" s="38">
        <v>46447</v>
      </c>
      <c r="B175" s="21" t="s">
        <v>182</v>
      </c>
      <c r="C175" s="28" t="str">
        <f>IFERROR(INDEX(tblClusters[Utilisation],MATCH($B175,tblClusters[Cluster],0)),"")</f>
        <v>JUMP CLV PROD</v>
      </c>
      <c r="D175" s="28" t="str">
        <f>IFERROR(INDEX(tblClusters[Type (deduit)],MATCH($B175,tblClusters[Cluster],0)),"")</f>
        <v>Dedie</v>
      </c>
      <c r="E175" s="24">
        <f>IFERROR(INDEX(tblClusters[CPU max (cores)],MATCH($B175,tblClusters[Cluster],0)),0)</f>
        <v>0</v>
      </c>
      <c r="F175" s="24">
        <f>IFERROR(INDEX(tblClusters[RAM max (Go)],MATCH($B175,tblClusters[Cluster],0)),0)</f>
        <v>0</v>
      </c>
      <c r="G175" s="24">
        <f>IFERROR(INDEX(tblClusters[Charge existante CPU hors migration],MATCH($B175,tblClusters[Cluster],0)),0)</f>
        <v>0</v>
      </c>
      <c r="H175" s="24">
        <f>IFERROR(INDEX(tblClusters[Charge existante RAM hors migration (Go)],MATCH($B175,tblClusters[Cluster],0)),0)</f>
        <v>0</v>
      </c>
      <c r="I175" s="24">
        <f ca="1">SUMIFS(tblApplications[CPU cible ROKS],tblApplications[Cluster ROKS cible (auto)],$B175,tblApplications[Mois de bascule prevu],"&lt;="&amp;EOMONTH($A175,0),tblApplications[Inclus projection O/N],"O")</f>
        <v>0</v>
      </c>
      <c r="J175" s="24">
        <f ca="1">SUMIFS(tblApplications[RAM cible ROKS],tblApplications[Cluster ROKS cible (auto)],$B175,tblApplications[Mois de bascule prevu],"&lt;="&amp;EOMONTH($A175,0),tblApplications[Inclus projection O/N],"O")</f>
        <v>0</v>
      </c>
      <c r="K175" s="25">
        <f t="shared" ca="1" si="12"/>
        <v>0</v>
      </c>
      <c r="L175" s="25">
        <f t="shared" ca="1" si="13"/>
        <v>0</v>
      </c>
      <c r="M175" s="26" t="str">
        <f t="shared" si="14"/>
        <v/>
      </c>
      <c r="N175" s="26" t="str">
        <f t="shared" si="15"/>
        <v/>
      </c>
      <c r="O175" s="22" t="str">
        <f ca="1">IF(E175=0,IF(K175&gt;0,"Cluster sans capacite provisionnee","n/a"),IF(OR(M175&gt;=Clusters_ROKS!$AC$5,N175&gt;=Clusters_ROKS!$AC$5),"Seuil depasse","OK"))</f>
        <v>n/a</v>
      </c>
      <c r="P175" s="25">
        <f t="shared" ca="1" si="16"/>
        <v>0</v>
      </c>
      <c r="Q175" s="25">
        <f t="shared" ca="1" si="17"/>
        <v>0</v>
      </c>
      <c r="R175" s="24">
        <f ca="1">IF(AND(P175=0,Q175=0),0,IFERROR(MAX(ROUNDUP(P175/INDEX(tblClusters[vCPU / noeud (deduit)],MATCH($B175,tblClusters[Cluster],0)),0),ROUNDUP(Q175/INDEX(tblClusters[RAM / noeud - Go (deduit)],MATCH($B175,tblClusters[Cluster],0)),0)),"Flavor a definir"))</f>
        <v>0</v>
      </c>
    </row>
    <row r="176" spans="1:18" x14ac:dyDescent="0.2">
      <c r="A176" s="38">
        <v>46478</v>
      </c>
      <c r="B176" s="21" t="s">
        <v>182</v>
      </c>
      <c r="C176" s="28" t="str">
        <f>IFERROR(INDEX(tblClusters[Utilisation],MATCH($B176,tblClusters[Cluster],0)),"")</f>
        <v>JUMP CLV PROD</v>
      </c>
      <c r="D176" s="28" t="str">
        <f>IFERROR(INDEX(tblClusters[Type (deduit)],MATCH($B176,tblClusters[Cluster],0)),"")</f>
        <v>Dedie</v>
      </c>
      <c r="E176" s="24">
        <f>IFERROR(INDEX(tblClusters[CPU max (cores)],MATCH($B176,tblClusters[Cluster],0)),0)</f>
        <v>0</v>
      </c>
      <c r="F176" s="24">
        <f>IFERROR(INDEX(tblClusters[RAM max (Go)],MATCH($B176,tblClusters[Cluster],0)),0)</f>
        <v>0</v>
      </c>
      <c r="G176" s="24">
        <f>IFERROR(INDEX(tblClusters[Charge existante CPU hors migration],MATCH($B176,tblClusters[Cluster],0)),0)</f>
        <v>0</v>
      </c>
      <c r="H176" s="24">
        <f>IFERROR(INDEX(tblClusters[Charge existante RAM hors migration (Go)],MATCH($B176,tblClusters[Cluster],0)),0)</f>
        <v>0</v>
      </c>
      <c r="I176" s="24">
        <f ca="1">SUMIFS(tblApplications[CPU cible ROKS],tblApplications[Cluster ROKS cible (auto)],$B176,tblApplications[Mois de bascule prevu],"&lt;="&amp;EOMONTH($A176,0),tblApplications[Inclus projection O/N],"O")</f>
        <v>0</v>
      </c>
      <c r="J176" s="24">
        <f ca="1">SUMIFS(tblApplications[RAM cible ROKS],tblApplications[Cluster ROKS cible (auto)],$B176,tblApplications[Mois de bascule prevu],"&lt;="&amp;EOMONTH($A176,0),tblApplications[Inclus projection O/N],"O")</f>
        <v>0</v>
      </c>
      <c r="K176" s="25">
        <f t="shared" ca="1" si="12"/>
        <v>0</v>
      </c>
      <c r="L176" s="25">
        <f t="shared" ca="1" si="13"/>
        <v>0</v>
      </c>
      <c r="M176" s="26" t="str">
        <f t="shared" si="14"/>
        <v/>
      </c>
      <c r="N176" s="26" t="str">
        <f t="shared" si="15"/>
        <v/>
      </c>
      <c r="O176" s="22" t="str">
        <f ca="1">IF(E176=0,IF(K176&gt;0,"Cluster sans capacite provisionnee","n/a"),IF(OR(M176&gt;=Clusters_ROKS!$AC$5,N176&gt;=Clusters_ROKS!$AC$5),"Seuil depasse","OK"))</f>
        <v>n/a</v>
      </c>
      <c r="P176" s="25">
        <f t="shared" ca="1" si="16"/>
        <v>0</v>
      </c>
      <c r="Q176" s="25">
        <f t="shared" ca="1" si="17"/>
        <v>0</v>
      </c>
      <c r="R176" s="24">
        <f ca="1">IF(AND(P176=0,Q176=0),0,IFERROR(MAX(ROUNDUP(P176/INDEX(tblClusters[vCPU / noeud (deduit)],MATCH($B176,tblClusters[Cluster],0)),0),ROUNDUP(Q176/INDEX(tblClusters[RAM / noeud - Go (deduit)],MATCH($B176,tblClusters[Cluster],0)),0)),"Flavor a definir"))</f>
        <v>0</v>
      </c>
    </row>
    <row r="177" spans="1:18" x14ac:dyDescent="0.2">
      <c r="A177" s="38">
        <v>46508</v>
      </c>
      <c r="B177" s="21" t="s">
        <v>182</v>
      </c>
      <c r="C177" s="28" t="str">
        <f>IFERROR(INDEX(tblClusters[Utilisation],MATCH($B177,tblClusters[Cluster],0)),"")</f>
        <v>JUMP CLV PROD</v>
      </c>
      <c r="D177" s="28" t="str">
        <f>IFERROR(INDEX(tblClusters[Type (deduit)],MATCH($B177,tblClusters[Cluster],0)),"")</f>
        <v>Dedie</v>
      </c>
      <c r="E177" s="24">
        <f>IFERROR(INDEX(tblClusters[CPU max (cores)],MATCH($B177,tblClusters[Cluster],0)),0)</f>
        <v>0</v>
      </c>
      <c r="F177" s="24">
        <f>IFERROR(INDEX(tblClusters[RAM max (Go)],MATCH($B177,tblClusters[Cluster],0)),0)</f>
        <v>0</v>
      </c>
      <c r="G177" s="24">
        <f>IFERROR(INDEX(tblClusters[Charge existante CPU hors migration],MATCH($B177,tblClusters[Cluster],0)),0)</f>
        <v>0</v>
      </c>
      <c r="H177" s="24">
        <f>IFERROR(INDEX(tblClusters[Charge existante RAM hors migration (Go)],MATCH($B177,tblClusters[Cluster],0)),0)</f>
        <v>0</v>
      </c>
      <c r="I177" s="24">
        <f ca="1">SUMIFS(tblApplications[CPU cible ROKS],tblApplications[Cluster ROKS cible (auto)],$B177,tblApplications[Mois de bascule prevu],"&lt;="&amp;EOMONTH($A177,0),tblApplications[Inclus projection O/N],"O")</f>
        <v>36</v>
      </c>
      <c r="J177" s="24">
        <f ca="1">SUMIFS(tblApplications[RAM cible ROKS],tblApplications[Cluster ROKS cible (auto)],$B177,tblApplications[Mois de bascule prevu],"&lt;="&amp;EOMONTH($A177,0),tblApplications[Inclus projection O/N],"O")</f>
        <v>144</v>
      </c>
      <c r="K177" s="25">
        <f t="shared" ca="1" si="12"/>
        <v>36</v>
      </c>
      <c r="L177" s="25">
        <f t="shared" ca="1" si="13"/>
        <v>144</v>
      </c>
      <c r="M177" s="26" t="str">
        <f t="shared" si="14"/>
        <v/>
      </c>
      <c r="N177" s="26" t="str">
        <f t="shared" si="15"/>
        <v/>
      </c>
      <c r="O177" s="22" t="str">
        <f ca="1">IF(E177=0,IF(K177&gt;0,"Cluster sans capacite provisionnee","n/a"),IF(OR(M177&gt;=Clusters_ROKS!$AC$5,N177&gt;=Clusters_ROKS!$AC$5),"Seuil depasse","OK"))</f>
        <v>Cluster sans capacite provisionnee</v>
      </c>
      <c r="P177" s="25">
        <f t="shared" ca="1" si="16"/>
        <v>36</v>
      </c>
      <c r="Q177" s="25">
        <f t="shared" ca="1" si="17"/>
        <v>144</v>
      </c>
      <c r="R177" s="24" t="str">
        <f ca="1">IF(AND(P177=0,Q177=0),0,IFERROR(MAX(ROUNDUP(P177/INDEX(tblClusters[vCPU / noeud (deduit)],MATCH($B177,tblClusters[Cluster],0)),0),ROUNDUP(Q177/INDEX(tblClusters[RAM / noeud - Go (deduit)],MATCH($B177,tblClusters[Cluster],0)),0)),"Flavor a definir"))</f>
        <v>Flavor a definir</v>
      </c>
    </row>
    <row r="178" spans="1:18" x14ac:dyDescent="0.2">
      <c r="A178" s="38">
        <v>46539</v>
      </c>
      <c r="B178" s="21" t="s">
        <v>182</v>
      </c>
      <c r="C178" s="28" t="str">
        <f>IFERROR(INDEX(tblClusters[Utilisation],MATCH($B178,tblClusters[Cluster],0)),"")</f>
        <v>JUMP CLV PROD</v>
      </c>
      <c r="D178" s="28" t="str">
        <f>IFERROR(INDEX(tblClusters[Type (deduit)],MATCH($B178,tblClusters[Cluster],0)),"")</f>
        <v>Dedie</v>
      </c>
      <c r="E178" s="24">
        <f>IFERROR(INDEX(tblClusters[CPU max (cores)],MATCH($B178,tblClusters[Cluster],0)),0)</f>
        <v>0</v>
      </c>
      <c r="F178" s="24">
        <f>IFERROR(INDEX(tblClusters[RAM max (Go)],MATCH($B178,tblClusters[Cluster],0)),0)</f>
        <v>0</v>
      </c>
      <c r="G178" s="24">
        <f>IFERROR(INDEX(tblClusters[Charge existante CPU hors migration],MATCH($B178,tblClusters[Cluster],0)),0)</f>
        <v>0</v>
      </c>
      <c r="H178" s="24">
        <f>IFERROR(INDEX(tblClusters[Charge existante RAM hors migration (Go)],MATCH($B178,tblClusters[Cluster],0)),0)</f>
        <v>0</v>
      </c>
      <c r="I178" s="24">
        <f ca="1">SUMIFS(tblApplications[CPU cible ROKS],tblApplications[Cluster ROKS cible (auto)],$B178,tblApplications[Mois de bascule prevu],"&lt;="&amp;EOMONTH($A178,0),tblApplications[Inclus projection O/N],"O")</f>
        <v>36</v>
      </c>
      <c r="J178" s="24">
        <f ca="1">SUMIFS(tblApplications[RAM cible ROKS],tblApplications[Cluster ROKS cible (auto)],$B178,tblApplications[Mois de bascule prevu],"&lt;="&amp;EOMONTH($A178,0),tblApplications[Inclus projection O/N],"O")</f>
        <v>144</v>
      </c>
      <c r="K178" s="25">
        <f t="shared" ca="1" si="12"/>
        <v>36</v>
      </c>
      <c r="L178" s="25">
        <f t="shared" ca="1" si="13"/>
        <v>144</v>
      </c>
      <c r="M178" s="26" t="str">
        <f t="shared" si="14"/>
        <v/>
      </c>
      <c r="N178" s="26" t="str">
        <f t="shared" si="15"/>
        <v/>
      </c>
      <c r="O178" s="22" t="str">
        <f ca="1">IF(E178=0,IF(K178&gt;0,"Cluster sans capacite provisionnee","n/a"),IF(OR(M178&gt;=Clusters_ROKS!$AC$5,N178&gt;=Clusters_ROKS!$AC$5),"Seuil depasse","OK"))</f>
        <v>Cluster sans capacite provisionnee</v>
      </c>
      <c r="P178" s="25">
        <f t="shared" ca="1" si="16"/>
        <v>36</v>
      </c>
      <c r="Q178" s="25">
        <f t="shared" ca="1" si="17"/>
        <v>144</v>
      </c>
      <c r="R178" s="24" t="str">
        <f ca="1">IF(AND(P178=0,Q178=0),0,IFERROR(MAX(ROUNDUP(P178/INDEX(tblClusters[vCPU / noeud (deduit)],MATCH($B178,tblClusters[Cluster],0)),0),ROUNDUP(Q178/INDEX(tblClusters[RAM / noeud - Go (deduit)],MATCH($B178,tblClusters[Cluster],0)),0)),"Flavor a definir"))</f>
        <v>Flavor a definir</v>
      </c>
    </row>
    <row r="179" spans="1:18" x14ac:dyDescent="0.2">
      <c r="A179" s="38">
        <v>46569</v>
      </c>
      <c r="B179" s="21" t="s">
        <v>182</v>
      </c>
      <c r="C179" s="28" t="str">
        <f>IFERROR(INDEX(tblClusters[Utilisation],MATCH($B179,tblClusters[Cluster],0)),"")</f>
        <v>JUMP CLV PROD</v>
      </c>
      <c r="D179" s="28" t="str">
        <f>IFERROR(INDEX(tblClusters[Type (deduit)],MATCH($B179,tblClusters[Cluster],0)),"")</f>
        <v>Dedie</v>
      </c>
      <c r="E179" s="24">
        <f>IFERROR(INDEX(tblClusters[CPU max (cores)],MATCH($B179,tblClusters[Cluster],0)),0)</f>
        <v>0</v>
      </c>
      <c r="F179" s="24">
        <f>IFERROR(INDEX(tblClusters[RAM max (Go)],MATCH($B179,tblClusters[Cluster],0)),0)</f>
        <v>0</v>
      </c>
      <c r="G179" s="24">
        <f>IFERROR(INDEX(tblClusters[Charge existante CPU hors migration],MATCH($B179,tblClusters[Cluster],0)),0)</f>
        <v>0</v>
      </c>
      <c r="H179" s="24">
        <f>IFERROR(INDEX(tblClusters[Charge existante RAM hors migration (Go)],MATCH($B179,tblClusters[Cluster],0)),0)</f>
        <v>0</v>
      </c>
      <c r="I179" s="24">
        <f ca="1">SUMIFS(tblApplications[CPU cible ROKS],tblApplications[Cluster ROKS cible (auto)],$B179,tblApplications[Mois de bascule prevu],"&lt;="&amp;EOMONTH($A179,0),tblApplications[Inclus projection O/N],"O")</f>
        <v>36</v>
      </c>
      <c r="J179" s="24">
        <f ca="1">SUMIFS(tblApplications[RAM cible ROKS],tblApplications[Cluster ROKS cible (auto)],$B179,tblApplications[Mois de bascule prevu],"&lt;="&amp;EOMONTH($A179,0),tblApplications[Inclus projection O/N],"O")</f>
        <v>144</v>
      </c>
      <c r="K179" s="25">
        <f t="shared" ca="1" si="12"/>
        <v>36</v>
      </c>
      <c r="L179" s="25">
        <f t="shared" ca="1" si="13"/>
        <v>144</v>
      </c>
      <c r="M179" s="26" t="str">
        <f t="shared" si="14"/>
        <v/>
      </c>
      <c r="N179" s="26" t="str">
        <f t="shared" si="15"/>
        <v/>
      </c>
      <c r="O179" s="22" t="str">
        <f ca="1">IF(E179=0,IF(K179&gt;0,"Cluster sans capacite provisionnee","n/a"),IF(OR(M179&gt;=Clusters_ROKS!$AC$5,N179&gt;=Clusters_ROKS!$AC$5),"Seuil depasse","OK"))</f>
        <v>Cluster sans capacite provisionnee</v>
      </c>
      <c r="P179" s="25">
        <f t="shared" ca="1" si="16"/>
        <v>36</v>
      </c>
      <c r="Q179" s="25">
        <f t="shared" ca="1" si="17"/>
        <v>144</v>
      </c>
      <c r="R179" s="24" t="str">
        <f ca="1">IF(AND(P179=0,Q179=0),0,IFERROR(MAX(ROUNDUP(P179/INDEX(tblClusters[vCPU / noeud (deduit)],MATCH($B179,tblClusters[Cluster],0)),0),ROUNDUP(Q179/INDEX(tblClusters[RAM / noeud - Go (deduit)],MATCH($B179,tblClusters[Cluster],0)),0)),"Flavor a definir"))</f>
        <v>Flavor a definir</v>
      </c>
    </row>
    <row r="180" spans="1:18" x14ac:dyDescent="0.2">
      <c r="A180" s="38">
        <v>46600</v>
      </c>
      <c r="B180" s="21" t="s">
        <v>182</v>
      </c>
      <c r="C180" s="28" t="str">
        <f>IFERROR(INDEX(tblClusters[Utilisation],MATCH($B180,tblClusters[Cluster],0)),"")</f>
        <v>JUMP CLV PROD</v>
      </c>
      <c r="D180" s="28" t="str">
        <f>IFERROR(INDEX(tblClusters[Type (deduit)],MATCH($B180,tblClusters[Cluster],0)),"")</f>
        <v>Dedie</v>
      </c>
      <c r="E180" s="24">
        <f>IFERROR(INDEX(tblClusters[CPU max (cores)],MATCH($B180,tblClusters[Cluster],0)),0)</f>
        <v>0</v>
      </c>
      <c r="F180" s="24">
        <f>IFERROR(INDEX(tblClusters[RAM max (Go)],MATCH($B180,tblClusters[Cluster],0)),0)</f>
        <v>0</v>
      </c>
      <c r="G180" s="24">
        <f>IFERROR(INDEX(tblClusters[Charge existante CPU hors migration],MATCH($B180,tblClusters[Cluster],0)),0)</f>
        <v>0</v>
      </c>
      <c r="H180" s="24">
        <f>IFERROR(INDEX(tblClusters[Charge existante RAM hors migration (Go)],MATCH($B180,tblClusters[Cluster],0)),0)</f>
        <v>0</v>
      </c>
      <c r="I180" s="24">
        <f ca="1">SUMIFS(tblApplications[CPU cible ROKS],tblApplications[Cluster ROKS cible (auto)],$B180,tblApplications[Mois de bascule prevu],"&lt;="&amp;EOMONTH($A180,0),tblApplications[Inclus projection O/N],"O")</f>
        <v>36</v>
      </c>
      <c r="J180" s="24">
        <f ca="1">SUMIFS(tblApplications[RAM cible ROKS],tblApplications[Cluster ROKS cible (auto)],$B180,tblApplications[Mois de bascule prevu],"&lt;="&amp;EOMONTH($A180,0),tblApplications[Inclus projection O/N],"O")</f>
        <v>144</v>
      </c>
      <c r="K180" s="25">
        <f t="shared" ca="1" si="12"/>
        <v>36</v>
      </c>
      <c r="L180" s="25">
        <f t="shared" ca="1" si="13"/>
        <v>144</v>
      </c>
      <c r="M180" s="26" t="str">
        <f t="shared" si="14"/>
        <v/>
      </c>
      <c r="N180" s="26" t="str">
        <f t="shared" si="15"/>
        <v/>
      </c>
      <c r="O180" s="22" t="str">
        <f ca="1">IF(E180=0,IF(K180&gt;0,"Cluster sans capacite provisionnee","n/a"),IF(OR(M180&gt;=Clusters_ROKS!$AC$5,N180&gt;=Clusters_ROKS!$AC$5),"Seuil depasse","OK"))</f>
        <v>Cluster sans capacite provisionnee</v>
      </c>
      <c r="P180" s="25">
        <f t="shared" ca="1" si="16"/>
        <v>36</v>
      </c>
      <c r="Q180" s="25">
        <f t="shared" ca="1" si="17"/>
        <v>144</v>
      </c>
      <c r="R180" s="24" t="str">
        <f ca="1">IF(AND(P180=0,Q180=0),0,IFERROR(MAX(ROUNDUP(P180/INDEX(tblClusters[vCPU / noeud (deduit)],MATCH($B180,tblClusters[Cluster],0)),0),ROUNDUP(Q180/INDEX(tblClusters[RAM / noeud - Go (deduit)],MATCH($B180,tblClusters[Cluster],0)),0)),"Flavor a definir"))</f>
        <v>Flavor a definir</v>
      </c>
    </row>
    <row r="181" spans="1:18" x14ac:dyDescent="0.2">
      <c r="A181" s="38">
        <v>46631</v>
      </c>
      <c r="B181" s="21" t="s">
        <v>182</v>
      </c>
      <c r="C181" s="28" t="str">
        <f>IFERROR(INDEX(tblClusters[Utilisation],MATCH($B181,tblClusters[Cluster],0)),"")</f>
        <v>JUMP CLV PROD</v>
      </c>
      <c r="D181" s="28" t="str">
        <f>IFERROR(INDEX(tblClusters[Type (deduit)],MATCH($B181,tblClusters[Cluster],0)),"")</f>
        <v>Dedie</v>
      </c>
      <c r="E181" s="24">
        <f>IFERROR(INDEX(tblClusters[CPU max (cores)],MATCH($B181,tblClusters[Cluster],0)),0)</f>
        <v>0</v>
      </c>
      <c r="F181" s="24">
        <f>IFERROR(INDEX(tblClusters[RAM max (Go)],MATCH($B181,tblClusters[Cluster],0)),0)</f>
        <v>0</v>
      </c>
      <c r="G181" s="24">
        <f>IFERROR(INDEX(tblClusters[Charge existante CPU hors migration],MATCH($B181,tblClusters[Cluster],0)),0)</f>
        <v>0</v>
      </c>
      <c r="H181" s="24">
        <f>IFERROR(INDEX(tblClusters[Charge existante RAM hors migration (Go)],MATCH($B181,tblClusters[Cluster],0)),0)</f>
        <v>0</v>
      </c>
      <c r="I181" s="24">
        <f ca="1">SUMIFS(tblApplications[CPU cible ROKS],tblApplications[Cluster ROKS cible (auto)],$B181,tblApplications[Mois de bascule prevu],"&lt;="&amp;EOMONTH($A181,0),tblApplications[Inclus projection O/N],"O")</f>
        <v>36</v>
      </c>
      <c r="J181" s="24">
        <f ca="1">SUMIFS(tblApplications[RAM cible ROKS],tblApplications[Cluster ROKS cible (auto)],$B181,tblApplications[Mois de bascule prevu],"&lt;="&amp;EOMONTH($A181,0),tblApplications[Inclus projection O/N],"O")</f>
        <v>144</v>
      </c>
      <c r="K181" s="25">
        <f t="shared" ca="1" si="12"/>
        <v>36</v>
      </c>
      <c r="L181" s="25">
        <f t="shared" ca="1" si="13"/>
        <v>144</v>
      </c>
      <c r="M181" s="26" t="str">
        <f t="shared" si="14"/>
        <v/>
      </c>
      <c r="N181" s="26" t="str">
        <f t="shared" si="15"/>
        <v/>
      </c>
      <c r="O181" s="22" t="str">
        <f ca="1">IF(E181=0,IF(K181&gt;0,"Cluster sans capacite provisionnee","n/a"),IF(OR(M181&gt;=Clusters_ROKS!$AC$5,N181&gt;=Clusters_ROKS!$AC$5),"Seuil depasse","OK"))</f>
        <v>Cluster sans capacite provisionnee</v>
      </c>
      <c r="P181" s="25">
        <f t="shared" ca="1" si="16"/>
        <v>36</v>
      </c>
      <c r="Q181" s="25">
        <f t="shared" ca="1" si="17"/>
        <v>144</v>
      </c>
      <c r="R181" s="24" t="str">
        <f ca="1">IF(AND(P181=0,Q181=0),0,IFERROR(MAX(ROUNDUP(P181/INDEX(tblClusters[vCPU / noeud (deduit)],MATCH($B181,tblClusters[Cluster],0)),0),ROUNDUP(Q181/INDEX(tblClusters[RAM / noeud - Go (deduit)],MATCH($B181,tblClusters[Cluster],0)),0)),"Flavor a definir"))</f>
        <v>Flavor a definir</v>
      </c>
    </row>
    <row r="182" spans="1:18" x14ac:dyDescent="0.2">
      <c r="A182" s="38">
        <v>46661</v>
      </c>
      <c r="B182" s="21" t="s">
        <v>182</v>
      </c>
      <c r="C182" s="28" t="str">
        <f>IFERROR(INDEX(tblClusters[Utilisation],MATCH($B182,tblClusters[Cluster],0)),"")</f>
        <v>JUMP CLV PROD</v>
      </c>
      <c r="D182" s="28" t="str">
        <f>IFERROR(INDEX(tblClusters[Type (deduit)],MATCH($B182,tblClusters[Cluster],0)),"")</f>
        <v>Dedie</v>
      </c>
      <c r="E182" s="24">
        <f>IFERROR(INDEX(tblClusters[CPU max (cores)],MATCH($B182,tblClusters[Cluster],0)),0)</f>
        <v>0</v>
      </c>
      <c r="F182" s="24">
        <f>IFERROR(INDEX(tblClusters[RAM max (Go)],MATCH($B182,tblClusters[Cluster],0)),0)</f>
        <v>0</v>
      </c>
      <c r="G182" s="24">
        <f>IFERROR(INDEX(tblClusters[Charge existante CPU hors migration],MATCH($B182,tblClusters[Cluster],0)),0)</f>
        <v>0</v>
      </c>
      <c r="H182" s="24">
        <f>IFERROR(INDEX(tblClusters[Charge existante RAM hors migration (Go)],MATCH($B182,tblClusters[Cluster],0)),0)</f>
        <v>0</v>
      </c>
      <c r="I182" s="24">
        <f ca="1">SUMIFS(tblApplications[CPU cible ROKS],tblApplications[Cluster ROKS cible (auto)],$B182,tblApplications[Mois de bascule prevu],"&lt;="&amp;EOMONTH($A182,0),tblApplications[Inclus projection O/N],"O")</f>
        <v>36</v>
      </c>
      <c r="J182" s="24">
        <f ca="1">SUMIFS(tblApplications[RAM cible ROKS],tblApplications[Cluster ROKS cible (auto)],$B182,tblApplications[Mois de bascule prevu],"&lt;="&amp;EOMONTH($A182,0),tblApplications[Inclus projection O/N],"O")</f>
        <v>144</v>
      </c>
      <c r="K182" s="25">
        <f t="shared" ca="1" si="12"/>
        <v>36</v>
      </c>
      <c r="L182" s="25">
        <f t="shared" ca="1" si="13"/>
        <v>144</v>
      </c>
      <c r="M182" s="26" t="str">
        <f t="shared" si="14"/>
        <v/>
      </c>
      <c r="N182" s="26" t="str">
        <f t="shared" si="15"/>
        <v/>
      </c>
      <c r="O182" s="22" t="str">
        <f ca="1">IF(E182=0,IF(K182&gt;0,"Cluster sans capacite provisionnee","n/a"),IF(OR(M182&gt;=Clusters_ROKS!$AC$5,N182&gt;=Clusters_ROKS!$AC$5),"Seuil depasse","OK"))</f>
        <v>Cluster sans capacite provisionnee</v>
      </c>
      <c r="P182" s="25">
        <f t="shared" ca="1" si="16"/>
        <v>36</v>
      </c>
      <c r="Q182" s="25">
        <f t="shared" ca="1" si="17"/>
        <v>144</v>
      </c>
      <c r="R182" s="24" t="str">
        <f ca="1">IF(AND(P182=0,Q182=0),0,IFERROR(MAX(ROUNDUP(P182/INDEX(tblClusters[vCPU / noeud (deduit)],MATCH($B182,tblClusters[Cluster],0)),0),ROUNDUP(Q182/INDEX(tblClusters[RAM / noeud - Go (deduit)],MATCH($B182,tblClusters[Cluster],0)),0)),"Flavor a definir"))</f>
        <v>Flavor a definir</v>
      </c>
    </row>
    <row r="183" spans="1:18" x14ac:dyDescent="0.2">
      <c r="A183" s="38">
        <v>46692</v>
      </c>
      <c r="B183" s="21" t="s">
        <v>182</v>
      </c>
      <c r="C183" s="28" t="str">
        <f>IFERROR(INDEX(tblClusters[Utilisation],MATCH($B183,tblClusters[Cluster],0)),"")</f>
        <v>JUMP CLV PROD</v>
      </c>
      <c r="D183" s="28" t="str">
        <f>IFERROR(INDEX(tblClusters[Type (deduit)],MATCH($B183,tblClusters[Cluster],0)),"")</f>
        <v>Dedie</v>
      </c>
      <c r="E183" s="24">
        <f>IFERROR(INDEX(tblClusters[CPU max (cores)],MATCH($B183,tblClusters[Cluster],0)),0)</f>
        <v>0</v>
      </c>
      <c r="F183" s="24">
        <f>IFERROR(INDEX(tblClusters[RAM max (Go)],MATCH($B183,tblClusters[Cluster],0)),0)</f>
        <v>0</v>
      </c>
      <c r="G183" s="24">
        <f>IFERROR(INDEX(tblClusters[Charge existante CPU hors migration],MATCH($B183,tblClusters[Cluster],0)),0)</f>
        <v>0</v>
      </c>
      <c r="H183" s="24">
        <f>IFERROR(INDEX(tblClusters[Charge existante RAM hors migration (Go)],MATCH($B183,tblClusters[Cluster],0)),0)</f>
        <v>0</v>
      </c>
      <c r="I183" s="24">
        <f ca="1">SUMIFS(tblApplications[CPU cible ROKS],tblApplications[Cluster ROKS cible (auto)],$B183,tblApplications[Mois de bascule prevu],"&lt;="&amp;EOMONTH($A183,0),tblApplications[Inclus projection O/N],"O")</f>
        <v>36</v>
      </c>
      <c r="J183" s="24">
        <f ca="1">SUMIFS(tblApplications[RAM cible ROKS],tblApplications[Cluster ROKS cible (auto)],$B183,tblApplications[Mois de bascule prevu],"&lt;="&amp;EOMONTH($A183,0),tblApplications[Inclus projection O/N],"O")</f>
        <v>144</v>
      </c>
      <c r="K183" s="25">
        <f t="shared" ca="1" si="12"/>
        <v>36</v>
      </c>
      <c r="L183" s="25">
        <f t="shared" ca="1" si="13"/>
        <v>144</v>
      </c>
      <c r="M183" s="26" t="str">
        <f t="shared" si="14"/>
        <v/>
      </c>
      <c r="N183" s="26" t="str">
        <f t="shared" si="15"/>
        <v/>
      </c>
      <c r="O183" s="22" t="str">
        <f ca="1">IF(E183=0,IF(K183&gt;0,"Cluster sans capacite provisionnee","n/a"),IF(OR(M183&gt;=Clusters_ROKS!$AC$5,N183&gt;=Clusters_ROKS!$AC$5),"Seuil depasse","OK"))</f>
        <v>Cluster sans capacite provisionnee</v>
      </c>
      <c r="P183" s="25">
        <f t="shared" ca="1" si="16"/>
        <v>36</v>
      </c>
      <c r="Q183" s="25">
        <f t="shared" ca="1" si="17"/>
        <v>144</v>
      </c>
      <c r="R183" s="24" t="str">
        <f ca="1">IF(AND(P183=0,Q183=0),0,IFERROR(MAX(ROUNDUP(P183/INDEX(tblClusters[vCPU / noeud (deduit)],MATCH($B183,tblClusters[Cluster],0)),0),ROUNDUP(Q183/INDEX(tblClusters[RAM / noeud - Go (deduit)],MATCH($B183,tblClusters[Cluster],0)),0)),"Flavor a definir"))</f>
        <v>Flavor a definir</v>
      </c>
    </row>
    <row r="184" spans="1:18" x14ac:dyDescent="0.2">
      <c r="A184" s="38">
        <v>46722</v>
      </c>
      <c r="B184" s="21" t="s">
        <v>182</v>
      </c>
      <c r="C184" s="28" t="str">
        <f>IFERROR(INDEX(tblClusters[Utilisation],MATCH($B184,tblClusters[Cluster],0)),"")</f>
        <v>JUMP CLV PROD</v>
      </c>
      <c r="D184" s="28" t="str">
        <f>IFERROR(INDEX(tblClusters[Type (deduit)],MATCH($B184,tblClusters[Cluster],0)),"")</f>
        <v>Dedie</v>
      </c>
      <c r="E184" s="24">
        <f>IFERROR(INDEX(tblClusters[CPU max (cores)],MATCH($B184,tblClusters[Cluster],0)),0)</f>
        <v>0</v>
      </c>
      <c r="F184" s="24">
        <f>IFERROR(INDEX(tblClusters[RAM max (Go)],MATCH($B184,tblClusters[Cluster],0)),0)</f>
        <v>0</v>
      </c>
      <c r="G184" s="24">
        <f>IFERROR(INDEX(tblClusters[Charge existante CPU hors migration],MATCH($B184,tblClusters[Cluster],0)),0)</f>
        <v>0</v>
      </c>
      <c r="H184" s="24">
        <f>IFERROR(INDEX(tblClusters[Charge existante RAM hors migration (Go)],MATCH($B184,tblClusters[Cluster],0)),0)</f>
        <v>0</v>
      </c>
      <c r="I184" s="24">
        <f ca="1">SUMIFS(tblApplications[CPU cible ROKS],tblApplications[Cluster ROKS cible (auto)],$B184,tblApplications[Mois de bascule prevu],"&lt;="&amp;EOMONTH($A184,0),tblApplications[Inclus projection O/N],"O")</f>
        <v>36</v>
      </c>
      <c r="J184" s="24">
        <f ca="1">SUMIFS(tblApplications[RAM cible ROKS],tblApplications[Cluster ROKS cible (auto)],$B184,tblApplications[Mois de bascule prevu],"&lt;="&amp;EOMONTH($A184,0),tblApplications[Inclus projection O/N],"O")</f>
        <v>144</v>
      </c>
      <c r="K184" s="25">
        <f t="shared" ca="1" si="12"/>
        <v>36</v>
      </c>
      <c r="L184" s="25">
        <f t="shared" ca="1" si="13"/>
        <v>144</v>
      </c>
      <c r="M184" s="26" t="str">
        <f t="shared" si="14"/>
        <v/>
      </c>
      <c r="N184" s="26" t="str">
        <f t="shared" si="15"/>
        <v/>
      </c>
      <c r="O184" s="22" t="str">
        <f ca="1">IF(E184=0,IF(K184&gt;0,"Cluster sans capacite provisionnee","n/a"),IF(OR(M184&gt;=Clusters_ROKS!$AC$5,N184&gt;=Clusters_ROKS!$AC$5),"Seuil depasse","OK"))</f>
        <v>Cluster sans capacite provisionnee</v>
      </c>
      <c r="P184" s="25">
        <f t="shared" ca="1" si="16"/>
        <v>36</v>
      </c>
      <c r="Q184" s="25">
        <f t="shared" ca="1" si="17"/>
        <v>144</v>
      </c>
      <c r="R184" s="24" t="str">
        <f ca="1">IF(AND(P184=0,Q184=0),0,IFERROR(MAX(ROUNDUP(P184/INDEX(tblClusters[vCPU / noeud (deduit)],MATCH($B184,tblClusters[Cluster],0)),0),ROUNDUP(Q184/INDEX(tblClusters[RAM / noeud - Go (deduit)],MATCH($B184,tblClusters[Cluster],0)),0)),"Flavor a definir"))</f>
        <v>Flavor a definir</v>
      </c>
    </row>
    <row r="185" spans="1:18" x14ac:dyDescent="0.2">
      <c r="A185" s="38">
        <v>46388</v>
      </c>
      <c r="B185" s="21" t="s">
        <v>184</v>
      </c>
      <c r="C185" s="28" t="str">
        <f>IFERROR(INDEX(tblClusters[Utilisation],MATCH($B185,tblClusters[Cluster],0)),"")</f>
        <v>JUMP AEP NON PROD</v>
      </c>
      <c r="D185" s="28" t="str">
        <f>IFERROR(INDEX(tblClusters[Type (deduit)],MATCH($B185,tblClusters[Cluster],0)),"")</f>
        <v>Dedie</v>
      </c>
      <c r="E185" s="24">
        <f>IFERROR(INDEX(tblClusters[CPU max (cores)],MATCH($B185,tblClusters[Cluster],0)),0)</f>
        <v>0</v>
      </c>
      <c r="F185" s="24">
        <f>IFERROR(INDEX(tblClusters[RAM max (Go)],MATCH($B185,tblClusters[Cluster],0)),0)</f>
        <v>0</v>
      </c>
      <c r="G185" s="24">
        <f>IFERROR(INDEX(tblClusters[Charge existante CPU hors migration],MATCH($B185,tblClusters[Cluster],0)),0)</f>
        <v>0</v>
      </c>
      <c r="H185" s="24">
        <f>IFERROR(INDEX(tblClusters[Charge existante RAM hors migration (Go)],MATCH($B185,tblClusters[Cluster],0)),0)</f>
        <v>0</v>
      </c>
      <c r="I185" s="24">
        <f ca="1">SUMIFS(tblApplications[CPU cible ROKS],tblApplications[Cluster ROKS cible (auto)],$B185,tblApplications[Mois de bascule prevu],"&lt;="&amp;EOMONTH($A185,0),tblApplications[Inclus projection O/N],"O")</f>
        <v>0</v>
      </c>
      <c r="J185" s="24">
        <f ca="1">SUMIFS(tblApplications[RAM cible ROKS],tblApplications[Cluster ROKS cible (auto)],$B185,tblApplications[Mois de bascule prevu],"&lt;="&amp;EOMONTH($A185,0),tblApplications[Inclus projection O/N],"O")</f>
        <v>0</v>
      </c>
      <c r="K185" s="25">
        <f t="shared" ca="1" si="12"/>
        <v>0</v>
      </c>
      <c r="L185" s="25">
        <f t="shared" ca="1" si="13"/>
        <v>0</v>
      </c>
      <c r="M185" s="26" t="str">
        <f t="shared" si="14"/>
        <v/>
      </c>
      <c r="N185" s="26" t="str">
        <f t="shared" si="15"/>
        <v/>
      </c>
      <c r="O185" s="22" t="str">
        <f ca="1">IF(E185=0,IF(K185&gt;0,"Cluster sans capacite provisionnee","n/a"),IF(OR(M185&gt;=Clusters_ROKS!$AC$5,N185&gt;=Clusters_ROKS!$AC$5),"Seuil depasse","OK"))</f>
        <v>n/a</v>
      </c>
      <c r="P185" s="25">
        <f t="shared" ca="1" si="16"/>
        <v>0</v>
      </c>
      <c r="Q185" s="25">
        <f t="shared" ca="1" si="17"/>
        <v>0</v>
      </c>
      <c r="R185" s="24">
        <f ca="1">IF(AND(P185=0,Q185=0),0,IFERROR(MAX(ROUNDUP(P185/INDEX(tblClusters[vCPU / noeud (deduit)],MATCH($B185,tblClusters[Cluster],0)),0),ROUNDUP(Q185/INDEX(tblClusters[RAM / noeud - Go (deduit)],MATCH($B185,tblClusters[Cluster],0)),0)),"Flavor a definir"))</f>
        <v>0</v>
      </c>
    </row>
    <row r="186" spans="1:18" x14ac:dyDescent="0.2">
      <c r="A186" s="38">
        <v>46419</v>
      </c>
      <c r="B186" s="21" t="s">
        <v>184</v>
      </c>
      <c r="C186" s="28" t="str">
        <f>IFERROR(INDEX(tblClusters[Utilisation],MATCH($B186,tblClusters[Cluster],0)),"")</f>
        <v>JUMP AEP NON PROD</v>
      </c>
      <c r="D186" s="28" t="str">
        <f>IFERROR(INDEX(tblClusters[Type (deduit)],MATCH($B186,tblClusters[Cluster],0)),"")</f>
        <v>Dedie</v>
      </c>
      <c r="E186" s="24">
        <f>IFERROR(INDEX(tblClusters[CPU max (cores)],MATCH($B186,tblClusters[Cluster],0)),0)</f>
        <v>0</v>
      </c>
      <c r="F186" s="24">
        <f>IFERROR(INDEX(tblClusters[RAM max (Go)],MATCH($B186,tblClusters[Cluster],0)),0)</f>
        <v>0</v>
      </c>
      <c r="G186" s="24">
        <f>IFERROR(INDEX(tblClusters[Charge existante CPU hors migration],MATCH($B186,tblClusters[Cluster],0)),0)</f>
        <v>0</v>
      </c>
      <c r="H186" s="24">
        <f>IFERROR(INDEX(tblClusters[Charge existante RAM hors migration (Go)],MATCH($B186,tblClusters[Cluster],0)),0)</f>
        <v>0</v>
      </c>
      <c r="I186" s="24">
        <f ca="1">SUMIFS(tblApplications[CPU cible ROKS],tblApplications[Cluster ROKS cible (auto)],$B186,tblApplications[Mois de bascule prevu],"&lt;="&amp;EOMONTH($A186,0),tblApplications[Inclus projection O/N],"O")</f>
        <v>0</v>
      </c>
      <c r="J186" s="24">
        <f ca="1">SUMIFS(tblApplications[RAM cible ROKS],tblApplications[Cluster ROKS cible (auto)],$B186,tblApplications[Mois de bascule prevu],"&lt;="&amp;EOMONTH($A186,0),tblApplications[Inclus projection O/N],"O")</f>
        <v>0</v>
      </c>
      <c r="K186" s="25">
        <f t="shared" ca="1" si="12"/>
        <v>0</v>
      </c>
      <c r="L186" s="25">
        <f t="shared" ca="1" si="13"/>
        <v>0</v>
      </c>
      <c r="M186" s="26" t="str">
        <f t="shared" si="14"/>
        <v/>
      </c>
      <c r="N186" s="26" t="str">
        <f t="shared" si="15"/>
        <v/>
      </c>
      <c r="O186" s="22" t="str">
        <f ca="1">IF(E186=0,IF(K186&gt;0,"Cluster sans capacite provisionnee","n/a"),IF(OR(M186&gt;=Clusters_ROKS!$AC$5,N186&gt;=Clusters_ROKS!$AC$5),"Seuil depasse","OK"))</f>
        <v>n/a</v>
      </c>
      <c r="P186" s="25">
        <f t="shared" ca="1" si="16"/>
        <v>0</v>
      </c>
      <c r="Q186" s="25">
        <f t="shared" ca="1" si="17"/>
        <v>0</v>
      </c>
      <c r="R186" s="24">
        <f ca="1">IF(AND(P186=0,Q186=0),0,IFERROR(MAX(ROUNDUP(P186/INDEX(tblClusters[vCPU / noeud (deduit)],MATCH($B186,tblClusters[Cluster],0)),0),ROUNDUP(Q186/INDEX(tblClusters[RAM / noeud - Go (deduit)],MATCH($B186,tblClusters[Cluster],0)),0)),"Flavor a definir"))</f>
        <v>0</v>
      </c>
    </row>
    <row r="187" spans="1:18" x14ac:dyDescent="0.2">
      <c r="A187" s="38">
        <v>46447</v>
      </c>
      <c r="B187" s="21" t="s">
        <v>184</v>
      </c>
      <c r="C187" s="28" t="str">
        <f>IFERROR(INDEX(tblClusters[Utilisation],MATCH($B187,tblClusters[Cluster],0)),"")</f>
        <v>JUMP AEP NON PROD</v>
      </c>
      <c r="D187" s="28" t="str">
        <f>IFERROR(INDEX(tblClusters[Type (deduit)],MATCH($B187,tblClusters[Cluster],0)),"")</f>
        <v>Dedie</v>
      </c>
      <c r="E187" s="24">
        <f>IFERROR(INDEX(tblClusters[CPU max (cores)],MATCH($B187,tblClusters[Cluster],0)),0)</f>
        <v>0</v>
      </c>
      <c r="F187" s="24">
        <f>IFERROR(INDEX(tblClusters[RAM max (Go)],MATCH($B187,tblClusters[Cluster],0)),0)</f>
        <v>0</v>
      </c>
      <c r="G187" s="24">
        <f>IFERROR(INDEX(tblClusters[Charge existante CPU hors migration],MATCH($B187,tblClusters[Cluster],0)),0)</f>
        <v>0</v>
      </c>
      <c r="H187" s="24">
        <f>IFERROR(INDEX(tblClusters[Charge existante RAM hors migration (Go)],MATCH($B187,tblClusters[Cluster],0)),0)</f>
        <v>0</v>
      </c>
      <c r="I187" s="24">
        <f ca="1">SUMIFS(tblApplications[CPU cible ROKS],tblApplications[Cluster ROKS cible (auto)],$B187,tblApplications[Mois de bascule prevu],"&lt;="&amp;EOMONTH($A187,0),tblApplications[Inclus projection O/N],"O")</f>
        <v>0</v>
      </c>
      <c r="J187" s="24">
        <f ca="1">SUMIFS(tblApplications[RAM cible ROKS],tblApplications[Cluster ROKS cible (auto)],$B187,tblApplications[Mois de bascule prevu],"&lt;="&amp;EOMONTH($A187,0),tblApplications[Inclus projection O/N],"O")</f>
        <v>0</v>
      </c>
      <c r="K187" s="25">
        <f t="shared" ca="1" si="12"/>
        <v>0</v>
      </c>
      <c r="L187" s="25">
        <f t="shared" ca="1" si="13"/>
        <v>0</v>
      </c>
      <c r="M187" s="26" t="str">
        <f t="shared" si="14"/>
        <v/>
      </c>
      <c r="N187" s="26" t="str">
        <f t="shared" si="15"/>
        <v/>
      </c>
      <c r="O187" s="22" t="str">
        <f ca="1">IF(E187=0,IF(K187&gt;0,"Cluster sans capacite provisionnee","n/a"),IF(OR(M187&gt;=Clusters_ROKS!$AC$5,N187&gt;=Clusters_ROKS!$AC$5),"Seuil depasse","OK"))</f>
        <v>n/a</v>
      </c>
      <c r="P187" s="25">
        <f t="shared" ca="1" si="16"/>
        <v>0</v>
      </c>
      <c r="Q187" s="25">
        <f t="shared" ca="1" si="17"/>
        <v>0</v>
      </c>
      <c r="R187" s="24">
        <f ca="1">IF(AND(P187=0,Q187=0),0,IFERROR(MAX(ROUNDUP(P187/INDEX(tblClusters[vCPU / noeud (deduit)],MATCH($B187,tblClusters[Cluster],0)),0),ROUNDUP(Q187/INDEX(tblClusters[RAM / noeud - Go (deduit)],MATCH($B187,tblClusters[Cluster],0)),0)),"Flavor a definir"))</f>
        <v>0</v>
      </c>
    </row>
    <row r="188" spans="1:18" x14ac:dyDescent="0.2">
      <c r="A188" s="38">
        <v>46478</v>
      </c>
      <c r="B188" s="21" t="s">
        <v>184</v>
      </c>
      <c r="C188" s="28" t="str">
        <f>IFERROR(INDEX(tblClusters[Utilisation],MATCH($B188,tblClusters[Cluster],0)),"")</f>
        <v>JUMP AEP NON PROD</v>
      </c>
      <c r="D188" s="28" t="str">
        <f>IFERROR(INDEX(tblClusters[Type (deduit)],MATCH($B188,tblClusters[Cluster],0)),"")</f>
        <v>Dedie</v>
      </c>
      <c r="E188" s="24">
        <f>IFERROR(INDEX(tblClusters[CPU max (cores)],MATCH($B188,tblClusters[Cluster],0)),0)</f>
        <v>0</v>
      </c>
      <c r="F188" s="24">
        <f>IFERROR(INDEX(tblClusters[RAM max (Go)],MATCH($B188,tblClusters[Cluster],0)),0)</f>
        <v>0</v>
      </c>
      <c r="G188" s="24">
        <f>IFERROR(INDEX(tblClusters[Charge existante CPU hors migration],MATCH($B188,tblClusters[Cluster],0)),0)</f>
        <v>0</v>
      </c>
      <c r="H188" s="24">
        <f>IFERROR(INDEX(tblClusters[Charge existante RAM hors migration (Go)],MATCH($B188,tblClusters[Cluster],0)),0)</f>
        <v>0</v>
      </c>
      <c r="I188" s="24">
        <f ca="1">SUMIFS(tblApplications[CPU cible ROKS],tblApplications[Cluster ROKS cible (auto)],$B188,tblApplications[Mois de bascule prevu],"&lt;="&amp;EOMONTH($A188,0),tblApplications[Inclus projection O/N],"O")</f>
        <v>0</v>
      </c>
      <c r="J188" s="24">
        <f ca="1">SUMIFS(tblApplications[RAM cible ROKS],tblApplications[Cluster ROKS cible (auto)],$B188,tblApplications[Mois de bascule prevu],"&lt;="&amp;EOMONTH($A188,0),tblApplications[Inclus projection O/N],"O")</f>
        <v>0</v>
      </c>
      <c r="K188" s="25">
        <f t="shared" ca="1" si="12"/>
        <v>0</v>
      </c>
      <c r="L188" s="25">
        <f t="shared" ca="1" si="13"/>
        <v>0</v>
      </c>
      <c r="M188" s="26" t="str">
        <f t="shared" si="14"/>
        <v/>
      </c>
      <c r="N188" s="26" t="str">
        <f t="shared" si="15"/>
        <v/>
      </c>
      <c r="O188" s="22" t="str">
        <f ca="1">IF(E188=0,IF(K188&gt;0,"Cluster sans capacite provisionnee","n/a"),IF(OR(M188&gt;=Clusters_ROKS!$AC$5,N188&gt;=Clusters_ROKS!$AC$5),"Seuil depasse","OK"))</f>
        <v>n/a</v>
      </c>
      <c r="P188" s="25">
        <f t="shared" ca="1" si="16"/>
        <v>0</v>
      </c>
      <c r="Q188" s="25">
        <f t="shared" ca="1" si="17"/>
        <v>0</v>
      </c>
      <c r="R188" s="24">
        <f ca="1">IF(AND(P188=0,Q188=0),0,IFERROR(MAX(ROUNDUP(P188/INDEX(tblClusters[vCPU / noeud (deduit)],MATCH($B188,tblClusters[Cluster],0)),0),ROUNDUP(Q188/INDEX(tblClusters[RAM / noeud - Go (deduit)],MATCH($B188,tblClusters[Cluster],0)),0)),"Flavor a definir"))</f>
        <v>0</v>
      </c>
    </row>
    <row r="189" spans="1:18" x14ac:dyDescent="0.2">
      <c r="A189" s="38">
        <v>46508</v>
      </c>
      <c r="B189" s="21" t="s">
        <v>184</v>
      </c>
      <c r="C189" s="28" t="str">
        <f>IFERROR(INDEX(tblClusters[Utilisation],MATCH($B189,tblClusters[Cluster],0)),"")</f>
        <v>JUMP AEP NON PROD</v>
      </c>
      <c r="D189" s="28" t="str">
        <f>IFERROR(INDEX(tblClusters[Type (deduit)],MATCH($B189,tblClusters[Cluster],0)),"")</f>
        <v>Dedie</v>
      </c>
      <c r="E189" s="24">
        <f>IFERROR(INDEX(tblClusters[CPU max (cores)],MATCH($B189,tblClusters[Cluster],0)),0)</f>
        <v>0</v>
      </c>
      <c r="F189" s="24">
        <f>IFERROR(INDEX(tblClusters[RAM max (Go)],MATCH($B189,tblClusters[Cluster],0)),0)</f>
        <v>0</v>
      </c>
      <c r="G189" s="24">
        <f>IFERROR(INDEX(tblClusters[Charge existante CPU hors migration],MATCH($B189,tblClusters[Cluster],0)),0)</f>
        <v>0</v>
      </c>
      <c r="H189" s="24">
        <f>IFERROR(INDEX(tblClusters[Charge existante RAM hors migration (Go)],MATCH($B189,tblClusters[Cluster],0)),0)</f>
        <v>0</v>
      </c>
      <c r="I189" s="24">
        <f ca="1">SUMIFS(tblApplications[CPU cible ROKS],tblApplications[Cluster ROKS cible (auto)],$B189,tblApplications[Mois de bascule prevu],"&lt;="&amp;EOMONTH($A189,0),tblApplications[Inclus projection O/N],"O")</f>
        <v>0</v>
      </c>
      <c r="J189" s="24">
        <f ca="1">SUMIFS(tblApplications[RAM cible ROKS],tblApplications[Cluster ROKS cible (auto)],$B189,tblApplications[Mois de bascule prevu],"&lt;="&amp;EOMONTH($A189,0),tblApplications[Inclus projection O/N],"O")</f>
        <v>0</v>
      </c>
      <c r="K189" s="25">
        <f t="shared" ca="1" si="12"/>
        <v>0</v>
      </c>
      <c r="L189" s="25">
        <f t="shared" ca="1" si="13"/>
        <v>0</v>
      </c>
      <c r="M189" s="26" t="str">
        <f t="shared" si="14"/>
        <v/>
      </c>
      <c r="N189" s="26" t="str">
        <f t="shared" si="15"/>
        <v/>
      </c>
      <c r="O189" s="22" t="str">
        <f ca="1">IF(E189=0,IF(K189&gt;0,"Cluster sans capacite provisionnee","n/a"),IF(OR(M189&gt;=Clusters_ROKS!$AC$5,N189&gt;=Clusters_ROKS!$AC$5),"Seuil depasse","OK"))</f>
        <v>n/a</v>
      </c>
      <c r="P189" s="25">
        <f t="shared" ca="1" si="16"/>
        <v>0</v>
      </c>
      <c r="Q189" s="25">
        <f t="shared" ca="1" si="17"/>
        <v>0</v>
      </c>
      <c r="R189" s="24">
        <f ca="1">IF(AND(P189=0,Q189=0),0,IFERROR(MAX(ROUNDUP(P189/INDEX(tblClusters[vCPU / noeud (deduit)],MATCH($B189,tblClusters[Cluster],0)),0),ROUNDUP(Q189/INDEX(tblClusters[RAM / noeud - Go (deduit)],MATCH($B189,tblClusters[Cluster],0)),0)),"Flavor a definir"))</f>
        <v>0</v>
      </c>
    </row>
    <row r="190" spans="1:18" x14ac:dyDescent="0.2">
      <c r="A190" s="38">
        <v>46539</v>
      </c>
      <c r="B190" s="21" t="s">
        <v>184</v>
      </c>
      <c r="C190" s="28" t="str">
        <f>IFERROR(INDEX(tblClusters[Utilisation],MATCH($B190,tblClusters[Cluster],0)),"")</f>
        <v>JUMP AEP NON PROD</v>
      </c>
      <c r="D190" s="28" t="str">
        <f>IFERROR(INDEX(tblClusters[Type (deduit)],MATCH($B190,tblClusters[Cluster],0)),"")</f>
        <v>Dedie</v>
      </c>
      <c r="E190" s="24">
        <f>IFERROR(INDEX(tblClusters[CPU max (cores)],MATCH($B190,tblClusters[Cluster],0)),0)</f>
        <v>0</v>
      </c>
      <c r="F190" s="24">
        <f>IFERROR(INDEX(tblClusters[RAM max (Go)],MATCH($B190,tblClusters[Cluster],0)),0)</f>
        <v>0</v>
      </c>
      <c r="G190" s="24">
        <f>IFERROR(INDEX(tblClusters[Charge existante CPU hors migration],MATCH($B190,tblClusters[Cluster],0)),0)</f>
        <v>0</v>
      </c>
      <c r="H190" s="24">
        <f>IFERROR(INDEX(tblClusters[Charge existante RAM hors migration (Go)],MATCH($B190,tblClusters[Cluster],0)),0)</f>
        <v>0</v>
      </c>
      <c r="I190" s="24">
        <f ca="1">SUMIFS(tblApplications[CPU cible ROKS],tblApplications[Cluster ROKS cible (auto)],$B190,tblApplications[Mois de bascule prevu],"&lt;="&amp;EOMONTH($A190,0),tblApplications[Inclus projection O/N],"O")</f>
        <v>0</v>
      </c>
      <c r="J190" s="24">
        <f ca="1">SUMIFS(tblApplications[RAM cible ROKS],tblApplications[Cluster ROKS cible (auto)],$B190,tblApplications[Mois de bascule prevu],"&lt;="&amp;EOMONTH($A190,0),tblApplications[Inclus projection O/N],"O")</f>
        <v>0</v>
      </c>
      <c r="K190" s="25">
        <f t="shared" ca="1" si="12"/>
        <v>0</v>
      </c>
      <c r="L190" s="25">
        <f t="shared" ca="1" si="13"/>
        <v>0</v>
      </c>
      <c r="M190" s="26" t="str">
        <f t="shared" si="14"/>
        <v/>
      </c>
      <c r="N190" s="26" t="str">
        <f t="shared" si="15"/>
        <v/>
      </c>
      <c r="O190" s="22" t="str">
        <f ca="1">IF(E190=0,IF(K190&gt;0,"Cluster sans capacite provisionnee","n/a"),IF(OR(M190&gt;=Clusters_ROKS!$AC$5,N190&gt;=Clusters_ROKS!$AC$5),"Seuil depasse","OK"))</f>
        <v>n/a</v>
      </c>
      <c r="P190" s="25">
        <f t="shared" ca="1" si="16"/>
        <v>0</v>
      </c>
      <c r="Q190" s="25">
        <f t="shared" ca="1" si="17"/>
        <v>0</v>
      </c>
      <c r="R190" s="24">
        <f ca="1">IF(AND(P190=0,Q190=0),0,IFERROR(MAX(ROUNDUP(P190/INDEX(tblClusters[vCPU / noeud (deduit)],MATCH($B190,tblClusters[Cluster],0)),0),ROUNDUP(Q190/INDEX(tblClusters[RAM / noeud - Go (deduit)],MATCH($B190,tblClusters[Cluster],0)),0)),"Flavor a definir"))</f>
        <v>0</v>
      </c>
    </row>
    <row r="191" spans="1:18" x14ac:dyDescent="0.2">
      <c r="A191" s="38">
        <v>46569</v>
      </c>
      <c r="B191" s="21" t="s">
        <v>184</v>
      </c>
      <c r="C191" s="28" t="str">
        <f>IFERROR(INDEX(tblClusters[Utilisation],MATCH($B191,tblClusters[Cluster],0)),"")</f>
        <v>JUMP AEP NON PROD</v>
      </c>
      <c r="D191" s="28" t="str">
        <f>IFERROR(INDEX(tblClusters[Type (deduit)],MATCH($B191,tblClusters[Cluster],0)),"")</f>
        <v>Dedie</v>
      </c>
      <c r="E191" s="24">
        <f>IFERROR(INDEX(tblClusters[CPU max (cores)],MATCH($B191,tblClusters[Cluster],0)),0)</f>
        <v>0</v>
      </c>
      <c r="F191" s="24">
        <f>IFERROR(INDEX(tblClusters[RAM max (Go)],MATCH($B191,tblClusters[Cluster],0)),0)</f>
        <v>0</v>
      </c>
      <c r="G191" s="24">
        <f>IFERROR(INDEX(tblClusters[Charge existante CPU hors migration],MATCH($B191,tblClusters[Cluster],0)),0)</f>
        <v>0</v>
      </c>
      <c r="H191" s="24">
        <f>IFERROR(INDEX(tblClusters[Charge existante RAM hors migration (Go)],MATCH($B191,tblClusters[Cluster],0)),0)</f>
        <v>0</v>
      </c>
      <c r="I191" s="24">
        <f ca="1">SUMIFS(tblApplications[CPU cible ROKS],tblApplications[Cluster ROKS cible (auto)],$B191,tblApplications[Mois de bascule prevu],"&lt;="&amp;EOMONTH($A191,0),tblApplications[Inclus projection O/N],"O")</f>
        <v>0</v>
      </c>
      <c r="J191" s="24">
        <f ca="1">SUMIFS(tblApplications[RAM cible ROKS],tblApplications[Cluster ROKS cible (auto)],$B191,tblApplications[Mois de bascule prevu],"&lt;="&amp;EOMONTH($A191,0),tblApplications[Inclus projection O/N],"O")</f>
        <v>0</v>
      </c>
      <c r="K191" s="25">
        <f t="shared" ca="1" si="12"/>
        <v>0</v>
      </c>
      <c r="L191" s="25">
        <f t="shared" ca="1" si="13"/>
        <v>0</v>
      </c>
      <c r="M191" s="26" t="str">
        <f t="shared" si="14"/>
        <v/>
      </c>
      <c r="N191" s="26" t="str">
        <f t="shared" si="15"/>
        <v/>
      </c>
      <c r="O191" s="22" t="str">
        <f ca="1">IF(E191=0,IF(K191&gt;0,"Cluster sans capacite provisionnee","n/a"),IF(OR(M191&gt;=Clusters_ROKS!$AC$5,N191&gt;=Clusters_ROKS!$AC$5),"Seuil depasse","OK"))</f>
        <v>n/a</v>
      </c>
      <c r="P191" s="25">
        <f t="shared" ca="1" si="16"/>
        <v>0</v>
      </c>
      <c r="Q191" s="25">
        <f t="shared" ca="1" si="17"/>
        <v>0</v>
      </c>
      <c r="R191" s="24">
        <f ca="1">IF(AND(P191=0,Q191=0),0,IFERROR(MAX(ROUNDUP(P191/INDEX(tblClusters[vCPU / noeud (deduit)],MATCH($B191,tblClusters[Cluster],0)),0),ROUNDUP(Q191/INDEX(tblClusters[RAM / noeud - Go (deduit)],MATCH($B191,tblClusters[Cluster],0)),0)),"Flavor a definir"))</f>
        <v>0</v>
      </c>
    </row>
    <row r="192" spans="1:18" x14ac:dyDescent="0.2">
      <c r="A192" s="38">
        <v>46600</v>
      </c>
      <c r="B192" s="21" t="s">
        <v>184</v>
      </c>
      <c r="C192" s="28" t="str">
        <f>IFERROR(INDEX(tblClusters[Utilisation],MATCH($B192,tblClusters[Cluster],0)),"")</f>
        <v>JUMP AEP NON PROD</v>
      </c>
      <c r="D192" s="28" t="str">
        <f>IFERROR(INDEX(tblClusters[Type (deduit)],MATCH($B192,tblClusters[Cluster],0)),"")</f>
        <v>Dedie</v>
      </c>
      <c r="E192" s="24">
        <f>IFERROR(INDEX(tblClusters[CPU max (cores)],MATCH($B192,tblClusters[Cluster],0)),0)</f>
        <v>0</v>
      </c>
      <c r="F192" s="24">
        <f>IFERROR(INDEX(tblClusters[RAM max (Go)],MATCH($B192,tblClusters[Cluster],0)),0)</f>
        <v>0</v>
      </c>
      <c r="G192" s="24">
        <f>IFERROR(INDEX(tblClusters[Charge existante CPU hors migration],MATCH($B192,tblClusters[Cluster],0)),0)</f>
        <v>0</v>
      </c>
      <c r="H192" s="24">
        <f>IFERROR(INDEX(tblClusters[Charge existante RAM hors migration (Go)],MATCH($B192,tblClusters[Cluster],0)),0)</f>
        <v>0</v>
      </c>
      <c r="I192" s="24">
        <f ca="1">SUMIFS(tblApplications[CPU cible ROKS],tblApplications[Cluster ROKS cible (auto)],$B192,tblApplications[Mois de bascule prevu],"&lt;="&amp;EOMONTH($A192,0),tblApplications[Inclus projection O/N],"O")</f>
        <v>0</v>
      </c>
      <c r="J192" s="24">
        <f ca="1">SUMIFS(tblApplications[RAM cible ROKS],tblApplications[Cluster ROKS cible (auto)],$B192,tblApplications[Mois de bascule prevu],"&lt;="&amp;EOMONTH($A192,0),tblApplications[Inclus projection O/N],"O")</f>
        <v>0</v>
      </c>
      <c r="K192" s="25">
        <f t="shared" ca="1" si="12"/>
        <v>0</v>
      </c>
      <c r="L192" s="25">
        <f t="shared" ca="1" si="13"/>
        <v>0</v>
      </c>
      <c r="M192" s="26" t="str">
        <f t="shared" si="14"/>
        <v/>
      </c>
      <c r="N192" s="26" t="str">
        <f t="shared" si="15"/>
        <v/>
      </c>
      <c r="O192" s="22" t="str">
        <f ca="1">IF(E192=0,IF(K192&gt;0,"Cluster sans capacite provisionnee","n/a"),IF(OR(M192&gt;=Clusters_ROKS!$AC$5,N192&gt;=Clusters_ROKS!$AC$5),"Seuil depasse","OK"))</f>
        <v>n/a</v>
      </c>
      <c r="P192" s="25">
        <f t="shared" ca="1" si="16"/>
        <v>0</v>
      </c>
      <c r="Q192" s="25">
        <f t="shared" ca="1" si="17"/>
        <v>0</v>
      </c>
      <c r="R192" s="24">
        <f ca="1">IF(AND(P192=0,Q192=0),0,IFERROR(MAX(ROUNDUP(P192/INDEX(tblClusters[vCPU / noeud (deduit)],MATCH($B192,tblClusters[Cluster],0)),0),ROUNDUP(Q192/INDEX(tblClusters[RAM / noeud - Go (deduit)],MATCH($B192,tblClusters[Cluster],0)),0)),"Flavor a definir"))</f>
        <v>0</v>
      </c>
    </row>
    <row r="193" spans="1:18" x14ac:dyDescent="0.2">
      <c r="A193" s="38">
        <v>46631</v>
      </c>
      <c r="B193" s="21" t="s">
        <v>184</v>
      </c>
      <c r="C193" s="28" t="str">
        <f>IFERROR(INDEX(tblClusters[Utilisation],MATCH($B193,tblClusters[Cluster],0)),"")</f>
        <v>JUMP AEP NON PROD</v>
      </c>
      <c r="D193" s="28" t="str">
        <f>IFERROR(INDEX(tblClusters[Type (deduit)],MATCH($B193,tblClusters[Cluster],0)),"")</f>
        <v>Dedie</v>
      </c>
      <c r="E193" s="24">
        <f>IFERROR(INDEX(tblClusters[CPU max (cores)],MATCH($B193,tblClusters[Cluster],0)),0)</f>
        <v>0</v>
      </c>
      <c r="F193" s="24">
        <f>IFERROR(INDEX(tblClusters[RAM max (Go)],MATCH($B193,tblClusters[Cluster],0)),0)</f>
        <v>0</v>
      </c>
      <c r="G193" s="24">
        <f>IFERROR(INDEX(tblClusters[Charge existante CPU hors migration],MATCH($B193,tblClusters[Cluster],0)),0)</f>
        <v>0</v>
      </c>
      <c r="H193" s="24">
        <f>IFERROR(INDEX(tblClusters[Charge existante RAM hors migration (Go)],MATCH($B193,tblClusters[Cluster],0)),0)</f>
        <v>0</v>
      </c>
      <c r="I193" s="24">
        <f ca="1">SUMIFS(tblApplications[CPU cible ROKS],tblApplications[Cluster ROKS cible (auto)],$B193,tblApplications[Mois de bascule prevu],"&lt;="&amp;EOMONTH($A193,0),tblApplications[Inclus projection O/N],"O")</f>
        <v>0</v>
      </c>
      <c r="J193" s="24">
        <f ca="1">SUMIFS(tblApplications[RAM cible ROKS],tblApplications[Cluster ROKS cible (auto)],$B193,tblApplications[Mois de bascule prevu],"&lt;="&amp;EOMONTH($A193,0),tblApplications[Inclus projection O/N],"O")</f>
        <v>0</v>
      </c>
      <c r="K193" s="25">
        <f t="shared" ca="1" si="12"/>
        <v>0</v>
      </c>
      <c r="L193" s="25">
        <f t="shared" ca="1" si="13"/>
        <v>0</v>
      </c>
      <c r="M193" s="26" t="str">
        <f t="shared" si="14"/>
        <v/>
      </c>
      <c r="N193" s="26" t="str">
        <f t="shared" si="15"/>
        <v/>
      </c>
      <c r="O193" s="22" t="str">
        <f ca="1">IF(E193=0,IF(K193&gt;0,"Cluster sans capacite provisionnee","n/a"),IF(OR(M193&gt;=Clusters_ROKS!$AC$5,N193&gt;=Clusters_ROKS!$AC$5),"Seuil depasse","OK"))</f>
        <v>n/a</v>
      </c>
      <c r="P193" s="25">
        <f t="shared" ca="1" si="16"/>
        <v>0</v>
      </c>
      <c r="Q193" s="25">
        <f t="shared" ca="1" si="17"/>
        <v>0</v>
      </c>
      <c r="R193" s="24">
        <f ca="1">IF(AND(P193=0,Q193=0),0,IFERROR(MAX(ROUNDUP(P193/INDEX(tblClusters[vCPU / noeud (deduit)],MATCH($B193,tblClusters[Cluster],0)),0),ROUNDUP(Q193/INDEX(tblClusters[RAM / noeud - Go (deduit)],MATCH($B193,tblClusters[Cluster],0)),0)),"Flavor a definir"))</f>
        <v>0</v>
      </c>
    </row>
    <row r="194" spans="1:18" x14ac:dyDescent="0.2">
      <c r="A194" s="38">
        <v>46661</v>
      </c>
      <c r="B194" s="21" t="s">
        <v>184</v>
      </c>
      <c r="C194" s="28" t="str">
        <f>IFERROR(INDEX(tblClusters[Utilisation],MATCH($B194,tblClusters[Cluster],0)),"")</f>
        <v>JUMP AEP NON PROD</v>
      </c>
      <c r="D194" s="28" t="str">
        <f>IFERROR(INDEX(tblClusters[Type (deduit)],MATCH($B194,tblClusters[Cluster],0)),"")</f>
        <v>Dedie</v>
      </c>
      <c r="E194" s="24">
        <f>IFERROR(INDEX(tblClusters[CPU max (cores)],MATCH($B194,tblClusters[Cluster],0)),0)</f>
        <v>0</v>
      </c>
      <c r="F194" s="24">
        <f>IFERROR(INDEX(tblClusters[RAM max (Go)],MATCH($B194,tblClusters[Cluster],0)),0)</f>
        <v>0</v>
      </c>
      <c r="G194" s="24">
        <f>IFERROR(INDEX(tblClusters[Charge existante CPU hors migration],MATCH($B194,tblClusters[Cluster],0)),0)</f>
        <v>0</v>
      </c>
      <c r="H194" s="24">
        <f>IFERROR(INDEX(tblClusters[Charge existante RAM hors migration (Go)],MATCH($B194,tblClusters[Cluster],0)),0)</f>
        <v>0</v>
      </c>
      <c r="I194" s="24">
        <f ca="1">SUMIFS(tblApplications[CPU cible ROKS],tblApplications[Cluster ROKS cible (auto)],$B194,tblApplications[Mois de bascule prevu],"&lt;="&amp;EOMONTH($A194,0),tblApplications[Inclus projection O/N],"O")</f>
        <v>0</v>
      </c>
      <c r="J194" s="24">
        <f ca="1">SUMIFS(tblApplications[RAM cible ROKS],tblApplications[Cluster ROKS cible (auto)],$B194,tblApplications[Mois de bascule prevu],"&lt;="&amp;EOMONTH($A194,0),tblApplications[Inclus projection O/N],"O")</f>
        <v>0</v>
      </c>
      <c r="K194" s="25">
        <f t="shared" ca="1" si="12"/>
        <v>0</v>
      </c>
      <c r="L194" s="25">
        <f t="shared" ca="1" si="13"/>
        <v>0</v>
      </c>
      <c r="M194" s="26" t="str">
        <f t="shared" si="14"/>
        <v/>
      </c>
      <c r="N194" s="26" t="str">
        <f t="shared" si="15"/>
        <v/>
      </c>
      <c r="O194" s="22" t="str">
        <f ca="1">IF(E194=0,IF(K194&gt;0,"Cluster sans capacite provisionnee","n/a"),IF(OR(M194&gt;=Clusters_ROKS!$AC$5,N194&gt;=Clusters_ROKS!$AC$5),"Seuil depasse","OK"))</f>
        <v>n/a</v>
      </c>
      <c r="P194" s="25">
        <f t="shared" ca="1" si="16"/>
        <v>0</v>
      </c>
      <c r="Q194" s="25">
        <f t="shared" ca="1" si="17"/>
        <v>0</v>
      </c>
      <c r="R194" s="24">
        <f ca="1">IF(AND(P194=0,Q194=0),0,IFERROR(MAX(ROUNDUP(P194/INDEX(tblClusters[vCPU / noeud (deduit)],MATCH($B194,tblClusters[Cluster],0)),0),ROUNDUP(Q194/INDEX(tblClusters[RAM / noeud - Go (deduit)],MATCH($B194,tblClusters[Cluster],0)),0)),"Flavor a definir"))</f>
        <v>0</v>
      </c>
    </row>
    <row r="195" spans="1:18" x14ac:dyDescent="0.2">
      <c r="A195" s="38">
        <v>46692</v>
      </c>
      <c r="B195" s="21" t="s">
        <v>184</v>
      </c>
      <c r="C195" s="28" t="str">
        <f>IFERROR(INDEX(tblClusters[Utilisation],MATCH($B195,tblClusters[Cluster],0)),"")</f>
        <v>JUMP AEP NON PROD</v>
      </c>
      <c r="D195" s="28" t="str">
        <f>IFERROR(INDEX(tblClusters[Type (deduit)],MATCH($B195,tblClusters[Cluster],0)),"")</f>
        <v>Dedie</v>
      </c>
      <c r="E195" s="24">
        <f>IFERROR(INDEX(tblClusters[CPU max (cores)],MATCH($B195,tblClusters[Cluster],0)),0)</f>
        <v>0</v>
      </c>
      <c r="F195" s="24">
        <f>IFERROR(INDEX(tblClusters[RAM max (Go)],MATCH($B195,tblClusters[Cluster],0)),0)</f>
        <v>0</v>
      </c>
      <c r="G195" s="24">
        <f>IFERROR(INDEX(tblClusters[Charge existante CPU hors migration],MATCH($B195,tblClusters[Cluster],0)),0)</f>
        <v>0</v>
      </c>
      <c r="H195" s="24">
        <f>IFERROR(INDEX(tblClusters[Charge existante RAM hors migration (Go)],MATCH($B195,tblClusters[Cluster],0)),0)</f>
        <v>0</v>
      </c>
      <c r="I195" s="24">
        <f ca="1">SUMIFS(tblApplications[CPU cible ROKS],tblApplications[Cluster ROKS cible (auto)],$B195,tblApplications[Mois de bascule prevu],"&lt;="&amp;EOMONTH($A195,0),tblApplications[Inclus projection O/N],"O")</f>
        <v>0</v>
      </c>
      <c r="J195" s="24">
        <f ca="1">SUMIFS(tblApplications[RAM cible ROKS],tblApplications[Cluster ROKS cible (auto)],$B195,tblApplications[Mois de bascule prevu],"&lt;="&amp;EOMONTH($A195,0),tblApplications[Inclus projection O/N],"O")</f>
        <v>0</v>
      </c>
      <c r="K195" s="25">
        <f t="shared" ca="1" si="12"/>
        <v>0</v>
      </c>
      <c r="L195" s="25">
        <f t="shared" ca="1" si="13"/>
        <v>0</v>
      </c>
      <c r="M195" s="26" t="str">
        <f t="shared" si="14"/>
        <v/>
      </c>
      <c r="N195" s="26" t="str">
        <f t="shared" si="15"/>
        <v/>
      </c>
      <c r="O195" s="22" t="str">
        <f ca="1">IF(E195=0,IF(K195&gt;0,"Cluster sans capacite provisionnee","n/a"),IF(OR(M195&gt;=Clusters_ROKS!$AC$5,N195&gt;=Clusters_ROKS!$AC$5),"Seuil depasse","OK"))</f>
        <v>n/a</v>
      </c>
      <c r="P195" s="25">
        <f t="shared" ca="1" si="16"/>
        <v>0</v>
      </c>
      <c r="Q195" s="25">
        <f t="shared" ca="1" si="17"/>
        <v>0</v>
      </c>
      <c r="R195" s="24">
        <f ca="1">IF(AND(P195=0,Q195=0),0,IFERROR(MAX(ROUNDUP(P195/INDEX(tblClusters[vCPU / noeud (deduit)],MATCH($B195,tblClusters[Cluster],0)),0),ROUNDUP(Q195/INDEX(tblClusters[RAM / noeud - Go (deduit)],MATCH($B195,tblClusters[Cluster],0)),0)),"Flavor a definir"))</f>
        <v>0</v>
      </c>
    </row>
    <row r="196" spans="1:18" x14ac:dyDescent="0.2">
      <c r="A196" s="38">
        <v>46722</v>
      </c>
      <c r="B196" s="21" t="s">
        <v>184</v>
      </c>
      <c r="C196" s="28" t="str">
        <f>IFERROR(INDEX(tblClusters[Utilisation],MATCH($B196,tblClusters[Cluster],0)),"")</f>
        <v>JUMP AEP NON PROD</v>
      </c>
      <c r="D196" s="28" t="str">
        <f>IFERROR(INDEX(tblClusters[Type (deduit)],MATCH($B196,tblClusters[Cluster],0)),"")</f>
        <v>Dedie</v>
      </c>
      <c r="E196" s="24">
        <f>IFERROR(INDEX(tblClusters[CPU max (cores)],MATCH($B196,tblClusters[Cluster],0)),0)</f>
        <v>0</v>
      </c>
      <c r="F196" s="24">
        <f>IFERROR(INDEX(tblClusters[RAM max (Go)],MATCH($B196,tblClusters[Cluster],0)),0)</f>
        <v>0</v>
      </c>
      <c r="G196" s="24">
        <f>IFERROR(INDEX(tblClusters[Charge existante CPU hors migration],MATCH($B196,tblClusters[Cluster],0)),0)</f>
        <v>0</v>
      </c>
      <c r="H196" s="24">
        <f>IFERROR(INDEX(tblClusters[Charge existante RAM hors migration (Go)],MATCH($B196,tblClusters[Cluster],0)),0)</f>
        <v>0</v>
      </c>
      <c r="I196" s="24">
        <f ca="1">SUMIFS(tblApplications[CPU cible ROKS],tblApplications[Cluster ROKS cible (auto)],$B196,tblApplications[Mois de bascule prevu],"&lt;="&amp;EOMONTH($A196,0),tblApplications[Inclus projection O/N],"O")</f>
        <v>0</v>
      </c>
      <c r="J196" s="24">
        <f ca="1">SUMIFS(tblApplications[RAM cible ROKS],tblApplications[Cluster ROKS cible (auto)],$B196,tblApplications[Mois de bascule prevu],"&lt;="&amp;EOMONTH($A196,0),tblApplications[Inclus projection O/N],"O")</f>
        <v>0</v>
      </c>
      <c r="K196" s="25">
        <f t="shared" ca="1" si="12"/>
        <v>0</v>
      </c>
      <c r="L196" s="25">
        <f t="shared" ca="1" si="13"/>
        <v>0</v>
      </c>
      <c r="M196" s="26" t="str">
        <f t="shared" si="14"/>
        <v/>
      </c>
      <c r="N196" s="26" t="str">
        <f t="shared" si="15"/>
        <v/>
      </c>
      <c r="O196" s="22" t="str">
        <f ca="1">IF(E196=0,IF(K196&gt;0,"Cluster sans capacite provisionnee","n/a"),IF(OR(M196&gt;=Clusters_ROKS!$AC$5,N196&gt;=Clusters_ROKS!$AC$5),"Seuil depasse","OK"))</f>
        <v>n/a</v>
      </c>
      <c r="P196" s="25">
        <f t="shared" ca="1" si="16"/>
        <v>0</v>
      </c>
      <c r="Q196" s="25">
        <f t="shared" ca="1" si="17"/>
        <v>0</v>
      </c>
      <c r="R196" s="24">
        <f ca="1">IF(AND(P196=0,Q196=0),0,IFERROR(MAX(ROUNDUP(P196/INDEX(tblClusters[vCPU / noeud (deduit)],MATCH($B196,tblClusters[Cluster],0)),0),ROUNDUP(Q196/INDEX(tblClusters[RAM / noeud - Go (deduit)],MATCH($B196,tblClusters[Cluster],0)),0)),"Flavor a definir"))</f>
        <v>0</v>
      </c>
    </row>
    <row r="197" spans="1:18" x14ac:dyDescent="0.2">
      <c r="A197" s="38">
        <v>46388</v>
      </c>
      <c r="B197" s="21" t="s">
        <v>186</v>
      </c>
      <c r="C197" s="28" t="str">
        <f>IFERROR(INDEX(tblClusters[Utilisation],MATCH($B197,tblClusters[Cluster],0)),"")</f>
        <v>JUMP CLV NON PROD</v>
      </c>
      <c r="D197" s="28" t="str">
        <f>IFERROR(INDEX(tblClusters[Type (deduit)],MATCH($B197,tblClusters[Cluster],0)),"")</f>
        <v>Dedie</v>
      </c>
      <c r="E197" s="24">
        <f>IFERROR(INDEX(tblClusters[CPU max (cores)],MATCH($B197,tblClusters[Cluster],0)),0)</f>
        <v>0</v>
      </c>
      <c r="F197" s="24">
        <f>IFERROR(INDEX(tblClusters[RAM max (Go)],MATCH($B197,tblClusters[Cluster],0)),0)</f>
        <v>0</v>
      </c>
      <c r="G197" s="24">
        <f>IFERROR(INDEX(tblClusters[Charge existante CPU hors migration],MATCH($B197,tblClusters[Cluster],0)),0)</f>
        <v>0</v>
      </c>
      <c r="H197" s="24">
        <f>IFERROR(INDEX(tblClusters[Charge existante RAM hors migration (Go)],MATCH($B197,tblClusters[Cluster],0)),0)</f>
        <v>0</v>
      </c>
      <c r="I197" s="24">
        <f ca="1">SUMIFS(tblApplications[CPU cible ROKS],tblApplications[Cluster ROKS cible (auto)],$B197,tblApplications[Mois de bascule prevu],"&lt;="&amp;EOMONTH($A197,0),tblApplications[Inclus projection O/N],"O")</f>
        <v>0</v>
      </c>
      <c r="J197" s="24">
        <f ca="1">SUMIFS(tblApplications[RAM cible ROKS],tblApplications[Cluster ROKS cible (auto)],$B197,tblApplications[Mois de bascule prevu],"&lt;="&amp;EOMONTH($A197,0),tblApplications[Inclus projection O/N],"O")</f>
        <v>0</v>
      </c>
      <c r="K197" s="25">
        <f t="shared" ref="K197:K260" ca="1" si="18">G197+I197</f>
        <v>0</v>
      </c>
      <c r="L197" s="25">
        <f t="shared" ref="L197:L260" ca="1" si="19">H197+J197</f>
        <v>0</v>
      </c>
      <c r="M197" s="26" t="str">
        <f t="shared" ref="M197:M260" si="20">IF(E197=0,"",K197/E197)</f>
        <v/>
      </c>
      <c r="N197" s="26" t="str">
        <f t="shared" ref="N197:N260" si="21">IF(F197=0,"",L197/F197)</f>
        <v/>
      </c>
      <c r="O197" s="22" t="str">
        <f ca="1">IF(E197=0,IF(K197&gt;0,"Cluster sans capacite provisionnee","n/a"),IF(OR(M197&gt;=Clusters_ROKS!$AC$5,N197&gt;=Clusters_ROKS!$AC$5),"Seuil depasse","OK"))</f>
        <v>n/a</v>
      </c>
      <c r="P197" s="25">
        <f t="shared" ref="P197:P260" ca="1" si="22">MAX(0,K197-E197)</f>
        <v>0</v>
      </c>
      <c r="Q197" s="25">
        <f t="shared" ref="Q197:Q260" ca="1" si="23">MAX(0,L197-F197)</f>
        <v>0</v>
      </c>
      <c r="R197" s="24">
        <f ca="1">IF(AND(P197=0,Q197=0),0,IFERROR(MAX(ROUNDUP(P197/INDEX(tblClusters[vCPU / noeud (deduit)],MATCH($B197,tblClusters[Cluster],0)),0),ROUNDUP(Q197/INDEX(tblClusters[RAM / noeud - Go (deduit)],MATCH($B197,tblClusters[Cluster],0)),0)),"Flavor a definir"))</f>
        <v>0</v>
      </c>
    </row>
    <row r="198" spans="1:18" x14ac:dyDescent="0.2">
      <c r="A198" s="38">
        <v>46419</v>
      </c>
      <c r="B198" s="21" t="s">
        <v>186</v>
      </c>
      <c r="C198" s="28" t="str">
        <f>IFERROR(INDEX(tblClusters[Utilisation],MATCH($B198,tblClusters[Cluster],0)),"")</f>
        <v>JUMP CLV NON PROD</v>
      </c>
      <c r="D198" s="28" t="str">
        <f>IFERROR(INDEX(tblClusters[Type (deduit)],MATCH($B198,tblClusters[Cluster],0)),"")</f>
        <v>Dedie</v>
      </c>
      <c r="E198" s="24">
        <f>IFERROR(INDEX(tblClusters[CPU max (cores)],MATCH($B198,tblClusters[Cluster],0)),0)</f>
        <v>0</v>
      </c>
      <c r="F198" s="24">
        <f>IFERROR(INDEX(tblClusters[RAM max (Go)],MATCH($B198,tblClusters[Cluster],0)),0)</f>
        <v>0</v>
      </c>
      <c r="G198" s="24">
        <f>IFERROR(INDEX(tblClusters[Charge existante CPU hors migration],MATCH($B198,tblClusters[Cluster],0)),0)</f>
        <v>0</v>
      </c>
      <c r="H198" s="24">
        <f>IFERROR(INDEX(tblClusters[Charge existante RAM hors migration (Go)],MATCH($B198,tblClusters[Cluster],0)),0)</f>
        <v>0</v>
      </c>
      <c r="I198" s="24">
        <f ca="1">SUMIFS(tblApplications[CPU cible ROKS],tblApplications[Cluster ROKS cible (auto)],$B198,tblApplications[Mois de bascule prevu],"&lt;="&amp;EOMONTH($A198,0),tblApplications[Inclus projection O/N],"O")</f>
        <v>0</v>
      </c>
      <c r="J198" s="24">
        <f ca="1">SUMIFS(tblApplications[RAM cible ROKS],tblApplications[Cluster ROKS cible (auto)],$B198,tblApplications[Mois de bascule prevu],"&lt;="&amp;EOMONTH($A198,0),tblApplications[Inclus projection O/N],"O")</f>
        <v>0</v>
      </c>
      <c r="K198" s="25">
        <f t="shared" ca="1" si="18"/>
        <v>0</v>
      </c>
      <c r="L198" s="25">
        <f t="shared" ca="1" si="19"/>
        <v>0</v>
      </c>
      <c r="M198" s="26" t="str">
        <f t="shared" si="20"/>
        <v/>
      </c>
      <c r="N198" s="26" t="str">
        <f t="shared" si="21"/>
        <v/>
      </c>
      <c r="O198" s="22" t="str">
        <f ca="1">IF(E198=0,IF(K198&gt;0,"Cluster sans capacite provisionnee","n/a"),IF(OR(M198&gt;=Clusters_ROKS!$AC$5,N198&gt;=Clusters_ROKS!$AC$5),"Seuil depasse","OK"))</f>
        <v>n/a</v>
      </c>
      <c r="P198" s="25">
        <f t="shared" ca="1" si="22"/>
        <v>0</v>
      </c>
      <c r="Q198" s="25">
        <f t="shared" ca="1" si="23"/>
        <v>0</v>
      </c>
      <c r="R198" s="24">
        <f ca="1">IF(AND(P198=0,Q198=0),0,IFERROR(MAX(ROUNDUP(P198/INDEX(tblClusters[vCPU / noeud (deduit)],MATCH($B198,tblClusters[Cluster],0)),0),ROUNDUP(Q198/INDEX(tblClusters[RAM / noeud - Go (deduit)],MATCH($B198,tblClusters[Cluster],0)),0)),"Flavor a definir"))</f>
        <v>0</v>
      </c>
    </row>
    <row r="199" spans="1:18" x14ac:dyDescent="0.2">
      <c r="A199" s="38">
        <v>46447</v>
      </c>
      <c r="B199" s="21" t="s">
        <v>186</v>
      </c>
      <c r="C199" s="28" t="str">
        <f>IFERROR(INDEX(tblClusters[Utilisation],MATCH($B199,tblClusters[Cluster],0)),"")</f>
        <v>JUMP CLV NON PROD</v>
      </c>
      <c r="D199" s="28" t="str">
        <f>IFERROR(INDEX(tblClusters[Type (deduit)],MATCH($B199,tblClusters[Cluster],0)),"")</f>
        <v>Dedie</v>
      </c>
      <c r="E199" s="24">
        <f>IFERROR(INDEX(tblClusters[CPU max (cores)],MATCH($B199,tblClusters[Cluster],0)),0)</f>
        <v>0</v>
      </c>
      <c r="F199" s="24">
        <f>IFERROR(INDEX(tblClusters[RAM max (Go)],MATCH($B199,tblClusters[Cluster],0)),0)</f>
        <v>0</v>
      </c>
      <c r="G199" s="24">
        <f>IFERROR(INDEX(tblClusters[Charge existante CPU hors migration],MATCH($B199,tblClusters[Cluster],0)),0)</f>
        <v>0</v>
      </c>
      <c r="H199" s="24">
        <f>IFERROR(INDEX(tblClusters[Charge existante RAM hors migration (Go)],MATCH($B199,tblClusters[Cluster],0)),0)</f>
        <v>0</v>
      </c>
      <c r="I199" s="24">
        <f ca="1">SUMIFS(tblApplications[CPU cible ROKS],tblApplications[Cluster ROKS cible (auto)],$B199,tblApplications[Mois de bascule prevu],"&lt;="&amp;EOMONTH($A199,0),tblApplications[Inclus projection O/N],"O")</f>
        <v>0</v>
      </c>
      <c r="J199" s="24">
        <f ca="1">SUMIFS(tblApplications[RAM cible ROKS],tblApplications[Cluster ROKS cible (auto)],$B199,tblApplications[Mois de bascule prevu],"&lt;="&amp;EOMONTH($A199,0),tblApplications[Inclus projection O/N],"O")</f>
        <v>0</v>
      </c>
      <c r="K199" s="25">
        <f t="shared" ca="1" si="18"/>
        <v>0</v>
      </c>
      <c r="L199" s="25">
        <f t="shared" ca="1" si="19"/>
        <v>0</v>
      </c>
      <c r="M199" s="26" t="str">
        <f t="shared" si="20"/>
        <v/>
      </c>
      <c r="N199" s="26" t="str">
        <f t="shared" si="21"/>
        <v/>
      </c>
      <c r="O199" s="22" t="str">
        <f ca="1">IF(E199=0,IF(K199&gt;0,"Cluster sans capacite provisionnee","n/a"),IF(OR(M199&gt;=Clusters_ROKS!$AC$5,N199&gt;=Clusters_ROKS!$AC$5),"Seuil depasse","OK"))</f>
        <v>n/a</v>
      </c>
      <c r="P199" s="25">
        <f t="shared" ca="1" si="22"/>
        <v>0</v>
      </c>
      <c r="Q199" s="25">
        <f t="shared" ca="1" si="23"/>
        <v>0</v>
      </c>
      <c r="R199" s="24">
        <f ca="1">IF(AND(P199=0,Q199=0),0,IFERROR(MAX(ROUNDUP(P199/INDEX(tblClusters[vCPU / noeud (deduit)],MATCH($B199,tblClusters[Cluster],0)),0),ROUNDUP(Q199/INDEX(tblClusters[RAM / noeud - Go (deduit)],MATCH($B199,tblClusters[Cluster],0)),0)),"Flavor a definir"))</f>
        <v>0</v>
      </c>
    </row>
    <row r="200" spans="1:18" x14ac:dyDescent="0.2">
      <c r="A200" s="38">
        <v>46478</v>
      </c>
      <c r="B200" s="21" t="s">
        <v>186</v>
      </c>
      <c r="C200" s="28" t="str">
        <f>IFERROR(INDEX(tblClusters[Utilisation],MATCH($B200,tblClusters[Cluster],0)),"")</f>
        <v>JUMP CLV NON PROD</v>
      </c>
      <c r="D200" s="28" t="str">
        <f>IFERROR(INDEX(tblClusters[Type (deduit)],MATCH($B200,tblClusters[Cluster],0)),"")</f>
        <v>Dedie</v>
      </c>
      <c r="E200" s="24">
        <f>IFERROR(INDEX(tblClusters[CPU max (cores)],MATCH($B200,tblClusters[Cluster],0)),0)</f>
        <v>0</v>
      </c>
      <c r="F200" s="24">
        <f>IFERROR(INDEX(tblClusters[RAM max (Go)],MATCH($B200,tblClusters[Cluster],0)),0)</f>
        <v>0</v>
      </c>
      <c r="G200" s="24">
        <f>IFERROR(INDEX(tblClusters[Charge existante CPU hors migration],MATCH($B200,tblClusters[Cluster],0)),0)</f>
        <v>0</v>
      </c>
      <c r="H200" s="24">
        <f>IFERROR(INDEX(tblClusters[Charge existante RAM hors migration (Go)],MATCH($B200,tblClusters[Cluster],0)),0)</f>
        <v>0</v>
      </c>
      <c r="I200" s="24">
        <f ca="1">SUMIFS(tblApplications[CPU cible ROKS],tblApplications[Cluster ROKS cible (auto)],$B200,tblApplications[Mois de bascule prevu],"&lt;="&amp;EOMONTH($A200,0),tblApplications[Inclus projection O/N],"O")</f>
        <v>0</v>
      </c>
      <c r="J200" s="24">
        <f ca="1">SUMIFS(tblApplications[RAM cible ROKS],tblApplications[Cluster ROKS cible (auto)],$B200,tblApplications[Mois de bascule prevu],"&lt;="&amp;EOMONTH($A200,0),tblApplications[Inclus projection O/N],"O")</f>
        <v>0</v>
      </c>
      <c r="K200" s="25">
        <f t="shared" ca="1" si="18"/>
        <v>0</v>
      </c>
      <c r="L200" s="25">
        <f t="shared" ca="1" si="19"/>
        <v>0</v>
      </c>
      <c r="M200" s="26" t="str">
        <f t="shared" si="20"/>
        <v/>
      </c>
      <c r="N200" s="26" t="str">
        <f t="shared" si="21"/>
        <v/>
      </c>
      <c r="O200" s="22" t="str">
        <f ca="1">IF(E200=0,IF(K200&gt;0,"Cluster sans capacite provisionnee","n/a"),IF(OR(M200&gt;=Clusters_ROKS!$AC$5,N200&gt;=Clusters_ROKS!$AC$5),"Seuil depasse","OK"))</f>
        <v>n/a</v>
      </c>
      <c r="P200" s="25">
        <f t="shared" ca="1" si="22"/>
        <v>0</v>
      </c>
      <c r="Q200" s="25">
        <f t="shared" ca="1" si="23"/>
        <v>0</v>
      </c>
      <c r="R200" s="24">
        <f ca="1">IF(AND(P200=0,Q200=0),0,IFERROR(MAX(ROUNDUP(P200/INDEX(tblClusters[vCPU / noeud (deduit)],MATCH($B200,tblClusters[Cluster],0)),0),ROUNDUP(Q200/INDEX(tblClusters[RAM / noeud - Go (deduit)],MATCH($B200,tblClusters[Cluster],0)),0)),"Flavor a definir"))</f>
        <v>0</v>
      </c>
    </row>
    <row r="201" spans="1:18" x14ac:dyDescent="0.2">
      <c r="A201" s="38">
        <v>46508</v>
      </c>
      <c r="B201" s="21" t="s">
        <v>186</v>
      </c>
      <c r="C201" s="28" t="str">
        <f>IFERROR(INDEX(tblClusters[Utilisation],MATCH($B201,tblClusters[Cluster],0)),"")</f>
        <v>JUMP CLV NON PROD</v>
      </c>
      <c r="D201" s="28" t="str">
        <f>IFERROR(INDEX(tblClusters[Type (deduit)],MATCH($B201,tblClusters[Cluster],0)),"")</f>
        <v>Dedie</v>
      </c>
      <c r="E201" s="24">
        <f>IFERROR(INDEX(tblClusters[CPU max (cores)],MATCH($B201,tblClusters[Cluster],0)),0)</f>
        <v>0</v>
      </c>
      <c r="F201" s="24">
        <f>IFERROR(INDEX(tblClusters[RAM max (Go)],MATCH($B201,tblClusters[Cluster],0)),0)</f>
        <v>0</v>
      </c>
      <c r="G201" s="24">
        <f>IFERROR(INDEX(tblClusters[Charge existante CPU hors migration],MATCH($B201,tblClusters[Cluster],0)),0)</f>
        <v>0</v>
      </c>
      <c r="H201" s="24">
        <f>IFERROR(INDEX(tblClusters[Charge existante RAM hors migration (Go)],MATCH($B201,tblClusters[Cluster],0)),0)</f>
        <v>0</v>
      </c>
      <c r="I201" s="24">
        <f ca="1">SUMIFS(tblApplications[CPU cible ROKS],tblApplications[Cluster ROKS cible (auto)],$B201,tblApplications[Mois de bascule prevu],"&lt;="&amp;EOMONTH($A201,0),tblApplications[Inclus projection O/N],"O")</f>
        <v>0</v>
      </c>
      <c r="J201" s="24">
        <f ca="1">SUMIFS(tblApplications[RAM cible ROKS],tblApplications[Cluster ROKS cible (auto)],$B201,tblApplications[Mois de bascule prevu],"&lt;="&amp;EOMONTH($A201,0),tblApplications[Inclus projection O/N],"O")</f>
        <v>0</v>
      </c>
      <c r="K201" s="25">
        <f t="shared" ca="1" si="18"/>
        <v>0</v>
      </c>
      <c r="L201" s="25">
        <f t="shared" ca="1" si="19"/>
        <v>0</v>
      </c>
      <c r="M201" s="26" t="str">
        <f t="shared" si="20"/>
        <v/>
      </c>
      <c r="N201" s="26" t="str">
        <f t="shared" si="21"/>
        <v/>
      </c>
      <c r="O201" s="22" t="str">
        <f ca="1">IF(E201=0,IF(K201&gt;0,"Cluster sans capacite provisionnee","n/a"),IF(OR(M201&gt;=Clusters_ROKS!$AC$5,N201&gt;=Clusters_ROKS!$AC$5),"Seuil depasse","OK"))</f>
        <v>n/a</v>
      </c>
      <c r="P201" s="25">
        <f t="shared" ca="1" si="22"/>
        <v>0</v>
      </c>
      <c r="Q201" s="25">
        <f t="shared" ca="1" si="23"/>
        <v>0</v>
      </c>
      <c r="R201" s="24">
        <f ca="1">IF(AND(P201=0,Q201=0),0,IFERROR(MAX(ROUNDUP(P201/INDEX(tblClusters[vCPU / noeud (deduit)],MATCH($B201,tblClusters[Cluster],0)),0),ROUNDUP(Q201/INDEX(tblClusters[RAM / noeud - Go (deduit)],MATCH($B201,tblClusters[Cluster],0)),0)),"Flavor a definir"))</f>
        <v>0</v>
      </c>
    </row>
    <row r="202" spans="1:18" x14ac:dyDescent="0.2">
      <c r="A202" s="38">
        <v>46539</v>
      </c>
      <c r="B202" s="21" t="s">
        <v>186</v>
      </c>
      <c r="C202" s="28" t="str">
        <f>IFERROR(INDEX(tblClusters[Utilisation],MATCH($B202,tblClusters[Cluster],0)),"")</f>
        <v>JUMP CLV NON PROD</v>
      </c>
      <c r="D202" s="28" t="str">
        <f>IFERROR(INDEX(tblClusters[Type (deduit)],MATCH($B202,tblClusters[Cluster],0)),"")</f>
        <v>Dedie</v>
      </c>
      <c r="E202" s="24">
        <f>IFERROR(INDEX(tblClusters[CPU max (cores)],MATCH($B202,tblClusters[Cluster],0)),0)</f>
        <v>0</v>
      </c>
      <c r="F202" s="24">
        <f>IFERROR(INDEX(tblClusters[RAM max (Go)],MATCH($B202,tblClusters[Cluster],0)),0)</f>
        <v>0</v>
      </c>
      <c r="G202" s="24">
        <f>IFERROR(INDEX(tblClusters[Charge existante CPU hors migration],MATCH($B202,tblClusters[Cluster],0)),0)</f>
        <v>0</v>
      </c>
      <c r="H202" s="24">
        <f>IFERROR(INDEX(tblClusters[Charge existante RAM hors migration (Go)],MATCH($B202,tblClusters[Cluster],0)),0)</f>
        <v>0</v>
      </c>
      <c r="I202" s="24">
        <f ca="1">SUMIFS(tblApplications[CPU cible ROKS],tblApplications[Cluster ROKS cible (auto)],$B202,tblApplications[Mois de bascule prevu],"&lt;="&amp;EOMONTH($A202,0),tblApplications[Inclus projection O/N],"O")</f>
        <v>0</v>
      </c>
      <c r="J202" s="24">
        <f ca="1">SUMIFS(tblApplications[RAM cible ROKS],tblApplications[Cluster ROKS cible (auto)],$B202,tblApplications[Mois de bascule prevu],"&lt;="&amp;EOMONTH($A202,0),tblApplications[Inclus projection O/N],"O")</f>
        <v>0</v>
      </c>
      <c r="K202" s="25">
        <f t="shared" ca="1" si="18"/>
        <v>0</v>
      </c>
      <c r="L202" s="25">
        <f t="shared" ca="1" si="19"/>
        <v>0</v>
      </c>
      <c r="M202" s="26" t="str">
        <f t="shared" si="20"/>
        <v/>
      </c>
      <c r="N202" s="26" t="str">
        <f t="shared" si="21"/>
        <v/>
      </c>
      <c r="O202" s="22" t="str">
        <f ca="1">IF(E202=0,IF(K202&gt;0,"Cluster sans capacite provisionnee","n/a"),IF(OR(M202&gt;=Clusters_ROKS!$AC$5,N202&gt;=Clusters_ROKS!$AC$5),"Seuil depasse","OK"))</f>
        <v>n/a</v>
      </c>
      <c r="P202" s="25">
        <f t="shared" ca="1" si="22"/>
        <v>0</v>
      </c>
      <c r="Q202" s="25">
        <f t="shared" ca="1" si="23"/>
        <v>0</v>
      </c>
      <c r="R202" s="24">
        <f ca="1">IF(AND(P202=0,Q202=0),0,IFERROR(MAX(ROUNDUP(P202/INDEX(tblClusters[vCPU / noeud (deduit)],MATCH($B202,tblClusters[Cluster],0)),0),ROUNDUP(Q202/INDEX(tblClusters[RAM / noeud - Go (deduit)],MATCH($B202,tblClusters[Cluster],0)),0)),"Flavor a definir"))</f>
        <v>0</v>
      </c>
    </row>
    <row r="203" spans="1:18" x14ac:dyDescent="0.2">
      <c r="A203" s="38">
        <v>46569</v>
      </c>
      <c r="B203" s="21" t="s">
        <v>186</v>
      </c>
      <c r="C203" s="28" t="str">
        <f>IFERROR(INDEX(tblClusters[Utilisation],MATCH($B203,tblClusters[Cluster],0)),"")</f>
        <v>JUMP CLV NON PROD</v>
      </c>
      <c r="D203" s="28" t="str">
        <f>IFERROR(INDEX(tblClusters[Type (deduit)],MATCH($B203,tblClusters[Cluster],0)),"")</f>
        <v>Dedie</v>
      </c>
      <c r="E203" s="24">
        <f>IFERROR(INDEX(tblClusters[CPU max (cores)],MATCH($B203,tblClusters[Cluster],0)),0)</f>
        <v>0</v>
      </c>
      <c r="F203" s="24">
        <f>IFERROR(INDEX(tblClusters[RAM max (Go)],MATCH($B203,tblClusters[Cluster],0)),0)</f>
        <v>0</v>
      </c>
      <c r="G203" s="24">
        <f>IFERROR(INDEX(tblClusters[Charge existante CPU hors migration],MATCH($B203,tblClusters[Cluster],0)),0)</f>
        <v>0</v>
      </c>
      <c r="H203" s="24">
        <f>IFERROR(INDEX(tblClusters[Charge existante RAM hors migration (Go)],MATCH($B203,tblClusters[Cluster],0)),0)</f>
        <v>0</v>
      </c>
      <c r="I203" s="24">
        <f ca="1">SUMIFS(tblApplications[CPU cible ROKS],tblApplications[Cluster ROKS cible (auto)],$B203,tblApplications[Mois de bascule prevu],"&lt;="&amp;EOMONTH($A203,0),tblApplications[Inclus projection O/N],"O")</f>
        <v>0</v>
      </c>
      <c r="J203" s="24">
        <f ca="1">SUMIFS(tblApplications[RAM cible ROKS],tblApplications[Cluster ROKS cible (auto)],$B203,tblApplications[Mois de bascule prevu],"&lt;="&amp;EOMONTH($A203,0),tblApplications[Inclus projection O/N],"O")</f>
        <v>0</v>
      </c>
      <c r="K203" s="25">
        <f t="shared" ca="1" si="18"/>
        <v>0</v>
      </c>
      <c r="L203" s="25">
        <f t="shared" ca="1" si="19"/>
        <v>0</v>
      </c>
      <c r="M203" s="26" t="str">
        <f t="shared" si="20"/>
        <v/>
      </c>
      <c r="N203" s="26" t="str">
        <f t="shared" si="21"/>
        <v/>
      </c>
      <c r="O203" s="22" t="str">
        <f ca="1">IF(E203=0,IF(K203&gt;0,"Cluster sans capacite provisionnee","n/a"),IF(OR(M203&gt;=Clusters_ROKS!$AC$5,N203&gt;=Clusters_ROKS!$AC$5),"Seuil depasse","OK"))</f>
        <v>n/a</v>
      </c>
      <c r="P203" s="25">
        <f t="shared" ca="1" si="22"/>
        <v>0</v>
      </c>
      <c r="Q203" s="25">
        <f t="shared" ca="1" si="23"/>
        <v>0</v>
      </c>
      <c r="R203" s="24">
        <f ca="1">IF(AND(P203=0,Q203=0),0,IFERROR(MAX(ROUNDUP(P203/INDEX(tblClusters[vCPU / noeud (deduit)],MATCH($B203,tblClusters[Cluster],0)),0),ROUNDUP(Q203/INDEX(tblClusters[RAM / noeud - Go (deduit)],MATCH($B203,tblClusters[Cluster],0)),0)),"Flavor a definir"))</f>
        <v>0</v>
      </c>
    </row>
    <row r="204" spans="1:18" x14ac:dyDescent="0.2">
      <c r="A204" s="38">
        <v>46600</v>
      </c>
      <c r="B204" s="21" t="s">
        <v>186</v>
      </c>
      <c r="C204" s="28" t="str">
        <f>IFERROR(INDEX(tblClusters[Utilisation],MATCH($B204,tblClusters[Cluster],0)),"")</f>
        <v>JUMP CLV NON PROD</v>
      </c>
      <c r="D204" s="28" t="str">
        <f>IFERROR(INDEX(tblClusters[Type (deduit)],MATCH($B204,tblClusters[Cluster],0)),"")</f>
        <v>Dedie</v>
      </c>
      <c r="E204" s="24">
        <f>IFERROR(INDEX(tblClusters[CPU max (cores)],MATCH($B204,tblClusters[Cluster],0)),0)</f>
        <v>0</v>
      </c>
      <c r="F204" s="24">
        <f>IFERROR(INDEX(tblClusters[RAM max (Go)],MATCH($B204,tblClusters[Cluster],0)),0)</f>
        <v>0</v>
      </c>
      <c r="G204" s="24">
        <f>IFERROR(INDEX(tblClusters[Charge existante CPU hors migration],MATCH($B204,tblClusters[Cluster],0)),0)</f>
        <v>0</v>
      </c>
      <c r="H204" s="24">
        <f>IFERROR(INDEX(tblClusters[Charge existante RAM hors migration (Go)],MATCH($B204,tblClusters[Cluster],0)),0)</f>
        <v>0</v>
      </c>
      <c r="I204" s="24">
        <f ca="1">SUMIFS(tblApplications[CPU cible ROKS],tblApplications[Cluster ROKS cible (auto)],$B204,tblApplications[Mois de bascule prevu],"&lt;="&amp;EOMONTH($A204,0),tblApplications[Inclus projection O/N],"O")</f>
        <v>0</v>
      </c>
      <c r="J204" s="24">
        <f ca="1">SUMIFS(tblApplications[RAM cible ROKS],tblApplications[Cluster ROKS cible (auto)],$B204,tblApplications[Mois de bascule prevu],"&lt;="&amp;EOMONTH($A204,0),tblApplications[Inclus projection O/N],"O")</f>
        <v>0</v>
      </c>
      <c r="K204" s="25">
        <f t="shared" ca="1" si="18"/>
        <v>0</v>
      </c>
      <c r="L204" s="25">
        <f t="shared" ca="1" si="19"/>
        <v>0</v>
      </c>
      <c r="M204" s="26" t="str">
        <f t="shared" si="20"/>
        <v/>
      </c>
      <c r="N204" s="26" t="str">
        <f t="shared" si="21"/>
        <v/>
      </c>
      <c r="O204" s="22" t="str">
        <f ca="1">IF(E204=0,IF(K204&gt;0,"Cluster sans capacite provisionnee","n/a"),IF(OR(M204&gt;=Clusters_ROKS!$AC$5,N204&gt;=Clusters_ROKS!$AC$5),"Seuil depasse","OK"))</f>
        <v>n/a</v>
      </c>
      <c r="P204" s="25">
        <f t="shared" ca="1" si="22"/>
        <v>0</v>
      </c>
      <c r="Q204" s="25">
        <f t="shared" ca="1" si="23"/>
        <v>0</v>
      </c>
      <c r="R204" s="24">
        <f ca="1">IF(AND(P204=0,Q204=0),0,IFERROR(MAX(ROUNDUP(P204/INDEX(tblClusters[vCPU / noeud (deduit)],MATCH($B204,tblClusters[Cluster],0)),0),ROUNDUP(Q204/INDEX(tblClusters[RAM / noeud - Go (deduit)],MATCH($B204,tblClusters[Cluster],0)),0)),"Flavor a definir"))</f>
        <v>0</v>
      </c>
    </row>
    <row r="205" spans="1:18" x14ac:dyDescent="0.2">
      <c r="A205" s="38">
        <v>46631</v>
      </c>
      <c r="B205" s="21" t="s">
        <v>186</v>
      </c>
      <c r="C205" s="28" t="str">
        <f>IFERROR(INDEX(tblClusters[Utilisation],MATCH($B205,tblClusters[Cluster],0)),"")</f>
        <v>JUMP CLV NON PROD</v>
      </c>
      <c r="D205" s="28" t="str">
        <f>IFERROR(INDEX(tblClusters[Type (deduit)],MATCH($B205,tblClusters[Cluster],0)),"")</f>
        <v>Dedie</v>
      </c>
      <c r="E205" s="24">
        <f>IFERROR(INDEX(tblClusters[CPU max (cores)],MATCH($B205,tblClusters[Cluster],0)),0)</f>
        <v>0</v>
      </c>
      <c r="F205" s="24">
        <f>IFERROR(INDEX(tblClusters[RAM max (Go)],MATCH($B205,tblClusters[Cluster],0)),0)</f>
        <v>0</v>
      </c>
      <c r="G205" s="24">
        <f>IFERROR(INDEX(tblClusters[Charge existante CPU hors migration],MATCH($B205,tblClusters[Cluster],0)),0)</f>
        <v>0</v>
      </c>
      <c r="H205" s="24">
        <f>IFERROR(INDEX(tblClusters[Charge existante RAM hors migration (Go)],MATCH($B205,tblClusters[Cluster],0)),0)</f>
        <v>0</v>
      </c>
      <c r="I205" s="24">
        <f ca="1">SUMIFS(tblApplications[CPU cible ROKS],tblApplications[Cluster ROKS cible (auto)],$B205,tblApplications[Mois de bascule prevu],"&lt;="&amp;EOMONTH($A205,0),tblApplications[Inclus projection O/N],"O")</f>
        <v>0</v>
      </c>
      <c r="J205" s="24">
        <f ca="1">SUMIFS(tblApplications[RAM cible ROKS],tblApplications[Cluster ROKS cible (auto)],$B205,tblApplications[Mois de bascule prevu],"&lt;="&amp;EOMONTH($A205,0),tblApplications[Inclus projection O/N],"O")</f>
        <v>0</v>
      </c>
      <c r="K205" s="25">
        <f t="shared" ca="1" si="18"/>
        <v>0</v>
      </c>
      <c r="L205" s="25">
        <f t="shared" ca="1" si="19"/>
        <v>0</v>
      </c>
      <c r="M205" s="26" t="str">
        <f t="shared" si="20"/>
        <v/>
      </c>
      <c r="N205" s="26" t="str">
        <f t="shared" si="21"/>
        <v/>
      </c>
      <c r="O205" s="22" t="str">
        <f ca="1">IF(E205=0,IF(K205&gt;0,"Cluster sans capacite provisionnee","n/a"),IF(OR(M205&gt;=Clusters_ROKS!$AC$5,N205&gt;=Clusters_ROKS!$AC$5),"Seuil depasse","OK"))</f>
        <v>n/a</v>
      </c>
      <c r="P205" s="25">
        <f t="shared" ca="1" si="22"/>
        <v>0</v>
      </c>
      <c r="Q205" s="25">
        <f t="shared" ca="1" si="23"/>
        <v>0</v>
      </c>
      <c r="R205" s="24">
        <f ca="1">IF(AND(P205=0,Q205=0),0,IFERROR(MAX(ROUNDUP(P205/INDEX(tblClusters[vCPU / noeud (deduit)],MATCH($B205,tblClusters[Cluster],0)),0),ROUNDUP(Q205/INDEX(tblClusters[RAM / noeud - Go (deduit)],MATCH($B205,tblClusters[Cluster],0)),0)),"Flavor a definir"))</f>
        <v>0</v>
      </c>
    </row>
    <row r="206" spans="1:18" x14ac:dyDescent="0.2">
      <c r="A206" s="38">
        <v>46661</v>
      </c>
      <c r="B206" s="21" t="s">
        <v>186</v>
      </c>
      <c r="C206" s="28" t="str">
        <f>IFERROR(INDEX(tblClusters[Utilisation],MATCH($B206,tblClusters[Cluster],0)),"")</f>
        <v>JUMP CLV NON PROD</v>
      </c>
      <c r="D206" s="28" t="str">
        <f>IFERROR(INDEX(tblClusters[Type (deduit)],MATCH($B206,tblClusters[Cluster],0)),"")</f>
        <v>Dedie</v>
      </c>
      <c r="E206" s="24">
        <f>IFERROR(INDEX(tblClusters[CPU max (cores)],MATCH($B206,tblClusters[Cluster],0)),0)</f>
        <v>0</v>
      </c>
      <c r="F206" s="24">
        <f>IFERROR(INDEX(tblClusters[RAM max (Go)],MATCH($B206,tblClusters[Cluster],0)),0)</f>
        <v>0</v>
      </c>
      <c r="G206" s="24">
        <f>IFERROR(INDEX(tblClusters[Charge existante CPU hors migration],MATCH($B206,tblClusters[Cluster],0)),0)</f>
        <v>0</v>
      </c>
      <c r="H206" s="24">
        <f>IFERROR(INDEX(tblClusters[Charge existante RAM hors migration (Go)],MATCH($B206,tblClusters[Cluster],0)),0)</f>
        <v>0</v>
      </c>
      <c r="I206" s="24">
        <f ca="1">SUMIFS(tblApplications[CPU cible ROKS],tblApplications[Cluster ROKS cible (auto)],$B206,tblApplications[Mois de bascule prevu],"&lt;="&amp;EOMONTH($A206,0),tblApplications[Inclus projection O/N],"O")</f>
        <v>0</v>
      </c>
      <c r="J206" s="24">
        <f ca="1">SUMIFS(tblApplications[RAM cible ROKS],tblApplications[Cluster ROKS cible (auto)],$B206,tblApplications[Mois de bascule prevu],"&lt;="&amp;EOMONTH($A206,0),tblApplications[Inclus projection O/N],"O")</f>
        <v>0</v>
      </c>
      <c r="K206" s="25">
        <f t="shared" ca="1" si="18"/>
        <v>0</v>
      </c>
      <c r="L206" s="25">
        <f t="shared" ca="1" si="19"/>
        <v>0</v>
      </c>
      <c r="M206" s="26" t="str">
        <f t="shared" si="20"/>
        <v/>
      </c>
      <c r="N206" s="26" t="str">
        <f t="shared" si="21"/>
        <v/>
      </c>
      <c r="O206" s="22" t="str">
        <f ca="1">IF(E206=0,IF(K206&gt;0,"Cluster sans capacite provisionnee","n/a"),IF(OR(M206&gt;=Clusters_ROKS!$AC$5,N206&gt;=Clusters_ROKS!$AC$5),"Seuil depasse","OK"))</f>
        <v>n/a</v>
      </c>
      <c r="P206" s="25">
        <f t="shared" ca="1" si="22"/>
        <v>0</v>
      </c>
      <c r="Q206" s="25">
        <f t="shared" ca="1" si="23"/>
        <v>0</v>
      </c>
      <c r="R206" s="24">
        <f ca="1">IF(AND(P206=0,Q206=0),0,IFERROR(MAX(ROUNDUP(P206/INDEX(tblClusters[vCPU / noeud (deduit)],MATCH($B206,tblClusters[Cluster],0)),0),ROUNDUP(Q206/INDEX(tblClusters[RAM / noeud - Go (deduit)],MATCH($B206,tblClusters[Cluster],0)),0)),"Flavor a definir"))</f>
        <v>0</v>
      </c>
    </row>
    <row r="207" spans="1:18" x14ac:dyDescent="0.2">
      <c r="A207" s="38">
        <v>46692</v>
      </c>
      <c r="B207" s="21" t="s">
        <v>186</v>
      </c>
      <c r="C207" s="28" t="str">
        <f>IFERROR(INDEX(tblClusters[Utilisation],MATCH($B207,tblClusters[Cluster],0)),"")</f>
        <v>JUMP CLV NON PROD</v>
      </c>
      <c r="D207" s="28" t="str">
        <f>IFERROR(INDEX(tblClusters[Type (deduit)],MATCH($B207,tblClusters[Cluster],0)),"")</f>
        <v>Dedie</v>
      </c>
      <c r="E207" s="24">
        <f>IFERROR(INDEX(tblClusters[CPU max (cores)],MATCH($B207,tblClusters[Cluster],0)),0)</f>
        <v>0</v>
      </c>
      <c r="F207" s="24">
        <f>IFERROR(INDEX(tblClusters[RAM max (Go)],MATCH($B207,tblClusters[Cluster],0)),0)</f>
        <v>0</v>
      </c>
      <c r="G207" s="24">
        <f>IFERROR(INDEX(tblClusters[Charge existante CPU hors migration],MATCH($B207,tblClusters[Cluster],0)),0)</f>
        <v>0</v>
      </c>
      <c r="H207" s="24">
        <f>IFERROR(INDEX(tblClusters[Charge existante RAM hors migration (Go)],MATCH($B207,tblClusters[Cluster],0)),0)</f>
        <v>0</v>
      </c>
      <c r="I207" s="24">
        <f ca="1">SUMIFS(tblApplications[CPU cible ROKS],tblApplications[Cluster ROKS cible (auto)],$B207,tblApplications[Mois de bascule prevu],"&lt;="&amp;EOMONTH($A207,0),tblApplications[Inclus projection O/N],"O")</f>
        <v>0</v>
      </c>
      <c r="J207" s="24">
        <f ca="1">SUMIFS(tblApplications[RAM cible ROKS],tblApplications[Cluster ROKS cible (auto)],$B207,tblApplications[Mois de bascule prevu],"&lt;="&amp;EOMONTH($A207,0),tblApplications[Inclus projection O/N],"O")</f>
        <v>0</v>
      </c>
      <c r="K207" s="25">
        <f t="shared" ca="1" si="18"/>
        <v>0</v>
      </c>
      <c r="L207" s="25">
        <f t="shared" ca="1" si="19"/>
        <v>0</v>
      </c>
      <c r="M207" s="26" t="str">
        <f t="shared" si="20"/>
        <v/>
      </c>
      <c r="N207" s="26" t="str">
        <f t="shared" si="21"/>
        <v/>
      </c>
      <c r="O207" s="22" t="str">
        <f ca="1">IF(E207=0,IF(K207&gt;0,"Cluster sans capacite provisionnee","n/a"),IF(OR(M207&gt;=Clusters_ROKS!$AC$5,N207&gt;=Clusters_ROKS!$AC$5),"Seuil depasse","OK"))</f>
        <v>n/a</v>
      </c>
      <c r="P207" s="25">
        <f t="shared" ca="1" si="22"/>
        <v>0</v>
      </c>
      <c r="Q207" s="25">
        <f t="shared" ca="1" si="23"/>
        <v>0</v>
      </c>
      <c r="R207" s="24">
        <f ca="1">IF(AND(P207=0,Q207=0),0,IFERROR(MAX(ROUNDUP(P207/INDEX(tblClusters[vCPU / noeud (deduit)],MATCH($B207,tblClusters[Cluster],0)),0),ROUNDUP(Q207/INDEX(tblClusters[RAM / noeud - Go (deduit)],MATCH($B207,tblClusters[Cluster],0)),0)),"Flavor a definir"))</f>
        <v>0</v>
      </c>
    </row>
    <row r="208" spans="1:18" x14ac:dyDescent="0.2">
      <c r="A208" s="38">
        <v>46722</v>
      </c>
      <c r="B208" s="21" t="s">
        <v>186</v>
      </c>
      <c r="C208" s="28" t="str">
        <f>IFERROR(INDEX(tblClusters[Utilisation],MATCH($B208,tblClusters[Cluster],0)),"")</f>
        <v>JUMP CLV NON PROD</v>
      </c>
      <c r="D208" s="28" t="str">
        <f>IFERROR(INDEX(tblClusters[Type (deduit)],MATCH($B208,tblClusters[Cluster],0)),"")</f>
        <v>Dedie</v>
      </c>
      <c r="E208" s="24">
        <f>IFERROR(INDEX(tblClusters[CPU max (cores)],MATCH($B208,tblClusters[Cluster],0)),0)</f>
        <v>0</v>
      </c>
      <c r="F208" s="24">
        <f>IFERROR(INDEX(tblClusters[RAM max (Go)],MATCH($B208,tblClusters[Cluster],0)),0)</f>
        <v>0</v>
      </c>
      <c r="G208" s="24">
        <f>IFERROR(INDEX(tblClusters[Charge existante CPU hors migration],MATCH($B208,tblClusters[Cluster],0)),0)</f>
        <v>0</v>
      </c>
      <c r="H208" s="24">
        <f>IFERROR(INDEX(tblClusters[Charge existante RAM hors migration (Go)],MATCH($B208,tblClusters[Cluster],0)),0)</f>
        <v>0</v>
      </c>
      <c r="I208" s="24">
        <f ca="1">SUMIFS(tblApplications[CPU cible ROKS],tblApplications[Cluster ROKS cible (auto)],$B208,tblApplications[Mois de bascule prevu],"&lt;="&amp;EOMONTH($A208,0),tblApplications[Inclus projection O/N],"O")</f>
        <v>0</v>
      </c>
      <c r="J208" s="24">
        <f ca="1">SUMIFS(tblApplications[RAM cible ROKS],tblApplications[Cluster ROKS cible (auto)],$B208,tblApplications[Mois de bascule prevu],"&lt;="&amp;EOMONTH($A208,0),tblApplications[Inclus projection O/N],"O")</f>
        <v>0</v>
      </c>
      <c r="K208" s="25">
        <f t="shared" ca="1" si="18"/>
        <v>0</v>
      </c>
      <c r="L208" s="25">
        <f t="shared" ca="1" si="19"/>
        <v>0</v>
      </c>
      <c r="M208" s="26" t="str">
        <f t="shared" si="20"/>
        <v/>
      </c>
      <c r="N208" s="26" t="str">
        <f t="shared" si="21"/>
        <v/>
      </c>
      <c r="O208" s="22" t="str">
        <f ca="1">IF(E208=0,IF(K208&gt;0,"Cluster sans capacite provisionnee","n/a"),IF(OR(M208&gt;=Clusters_ROKS!$AC$5,N208&gt;=Clusters_ROKS!$AC$5),"Seuil depasse","OK"))</f>
        <v>n/a</v>
      </c>
      <c r="P208" s="25">
        <f t="shared" ca="1" si="22"/>
        <v>0</v>
      </c>
      <c r="Q208" s="25">
        <f t="shared" ca="1" si="23"/>
        <v>0</v>
      </c>
      <c r="R208" s="24">
        <f ca="1">IF(AND(P208=0,Q208=0),0,IFERROR(MAX(ROUNDUP(P208/INDEX(tblClusters[vCPU / noeud (deduit)],MATCH($B208,tblClusters[Cluster],0)),0),ROUNDUP(Q208/INDEX(tblClusters[RAM / noeud - Go (deduit)],MATCH($B208,tblClusters[Cluster],0)),0)),"Flavor a definir"))</f>
        <v>0</v>
      </c>
    </row>
    <row r="209" spans="1:18" x14ac:dyDescent="0.2">
      <c r="A209" s="38">
        <v>46388</v>
      </c>
      <c r="B209" s="21" t="s">
        <v>189</v>
      </c>
      <c r="C209" s="28" t="str">
        <f>IFERROR(INDEX(tblClusters[Utilisation],MATCH($B209,tblClusters[Cluster],0)),"")</f>
        <v>PREZ-I GIE PROD</v>
      </c>
      <c r="D209" s="28" t="str">
        <f>IFERROR(INDEX(tblClusters[Type (deduit)],MATCH($B209,tblClusters[Cluster],0)),"")</f>
        <v>Dedie</v>
      </c>
      <c r="E209" s="24">
        <f>IFERROR(INDEX(tblClusters[CPU max (cores)],MATCH($B209,tblClusters[Cluster],0)),0)</f>
        <v>48</v>
      </c>
      <c r="F209" s="24">
        <f>IFERROR(INDEX(tblClusters[RAM max (Go)],MATCH($B209,tblClusters[Cluster],0)),0)</f>
        <v>240</v>
      </c>
      <c r="G209" s="24">
        <f>IFERROR(INDEX(tblClusters[Charge existante CPU hors migration],MATCH($B209,tblClusters[Cluster],0)),0)</f>
        <v>0</v>
      </c>
      <c r="H209" s="24">
        <f>IFERROR(INDEX(tblClusters[Charge existante RAM hors migration (Go)],MATCH($B209,tblClusters[Cluster],0)),0)</f>
        <v>0</v>
      </c>
      <c r="I209" s="24">
        <f ca="1">SUMIFS(tblApplications[CPU cible ROKS],tblApplications[Cluster ROKS cible (auto)],$B209,tblApplications[Mois de bascule prevu],"&lt;="&amp;EOMONTH($A209,0),tblApplications[Inclus projection O/N],"O")</f>
        <v>0</v>
      </c>
      <c r="J209" s="24">
        <f ca="1">SUMIFS(tblApplications[RAM cible ROKS],tblApplications[Cluster ROKS cible (auto)],$B209,tblApplications[Mois de bascule prevu],"&lt;="&amp;EOMONTH($A209,0),tblApplications[Inclus projection O/N],"O")</f>
        <v>0</v>
      </c>
      <c r="K209" s="25">
        <f t="shared" ca="1" si="18"/>
        <v>0</v>
      </c>
      <c r="L209" s="25">
        <f t="shared" ca="1" si="19"/>
        <v>0</v>
      </c>
      <c r="M209" s="26">
        <f t="shared" ca="1" si="20"/>
        <v>0</v>
      </c>
      <c r="N209" s="26">
        <f t="shared" ca="1" si="21"/>
        <v>0</v>
      </c>
      <c r="O209" s="22" t="str">
        <f ca="1">IF(E209=0,IF(K209&gt;0,"Cluster sans capacite provisionnee","n/a"),IF(OR(M209&gt;=Clusters_ROKS!$AC$5,N209&gt;=Clusters_ROKS!$AC$5),"Seuil depasse","OK"))</f>
        <v>OK</v>
      </c>
      <c r="P209" s="25">
        <f t="shared" ca="1" si="22"/>
        <v>0</v>
      </c>
      <c r="Q209" s="25">
        <f t="shared" ca="1" si="23"/>
        <v>0</v>
      </c>
      <c r="R209" s="24">
        <f ca="1">IF(AND(P209=0,Q209=0),0,IFERROR(MAX(ROUNDUP(P209/INDEX(tblClusters[vCPU / noeud (deduit)],MATCH($B209,tblClusters[Cluster],0)),0),ROUNDUP(Q209/INDEX(tblClusters[RAM / noeud - Go (deduit)],MATCH($B209,tblClusters[Cluster],0)),0)),"Flavor a definir"))</f>
        <v>0</v>
      </c>
    </row>
    <row r="210" spans="1:18" x14ac:dyDescent="0.2">
      <c r="A210" s="38">
        <v>46419</v>
      </c>
      <c r="B210" s="21" t="s">
        <v>189</v>
      </c>
      <c r="C210" s="28" t="str">
        <f>IFERROR(INDEX(tblClusters[Utilisation],MATCH($B210,tblClusters[Cluster],0)),"")</f>
        <v>PREZ-I GIE PROD</v>
      </c>
      <c r="D210" s="28" t="str">
        <f>IFERROR(INDEX(tblClusters[Type (deduit)],MATCH($B210,tblClusters[Cluster],0)),"")</f>
        <v>Dedie</v>
      </c>
      <c r="E210" s="24">
        <f>IFERROR(INDEX(tblClusters[CPU max (cores)],MATCH($B210,tblClusters[Cluster],0)),0)</f>
        <v>48</v>
      </c>
      <c r="F210" s="24">
        <f>IFERROR(INDEX(tblClusters[RAM max (Go)],MATCH($B210,tblClusters[Cluster],0)),0)</f>
        <v>240</v>
      </c>
      <c r="G210" s="24">
        <f>IFERROR(INDEX(tblClusters[Charge existante CPU hors migration],MATCH($B210,tblClusters[Cluster],0)),0)</f>
        <v>0</v>
      </c>
      <c r="H210" s="24">
        <f>IFERROR(INDEX(tblClusters[Charge existante RAM hors migration (Go)],MATCH($B210,tblClusters[Cluster],0)),0)</f>
        <v>0</v>
      </c>
      <c r="I210" s="24">
        <f ca="1">SUMIFS(tblApplications[CPU cible ROKS],tblApplications[Cluster ROKS cible (auto)],$B210,tblApplications[Mois de bascule prevu],"&lt;="&amp;EOMONTH($A210,0),tblApplications[Inclus projection O/N],"O")</f>
        <v>0</v>
      </c>
      <c r="J210" s="24">
        <f ca="1">SUMIFS(tblApplications[RAM cible ROKS],tblApplications[Cluster ROKS cible (auto)],$B210,tblApplications[Mois de bascule prevu],"&lt;="&amp;EOMONTH($A210,0),tblApplications[Inclus projection O/N],"O")</f>
        <v>0</v>
      </c>
      <c r="K210" s="25">
        <f t="shared" ca="1" si="18"/>
        <v>0</v>
      </c>
      <c r="L210" s="25">
        <f t="shared" ca="1" si="19"/>
        <v>0</v>
      </c>
      <c r="M210" s="26">
        <f t="shared" ca="1" si="20"/>
        <v>0</v>
      </c>
      <c r="N210" s="26">
        <f t="shared" ca="1" si="21"/>
        <v>0</v>
      </c>
      <c r="O210" s="22" t="str">
        <f ca="1">IF(E210=0,IF(K210&gt;0,"Cluster sans capacite provisionnee","n/a"),IF(OR(M210&gt;=Clusters_ROKS!$AC$5,N210&gt;=Clusters_ROKS!$AC$5),"Seuil depasse","OK"))</f>
        <v>OK</v>
      </c>
      <c r="P210" s="25">
        <f t="shared" ca="1" si="22"/>
        <v>0</v>
      </c>
      <c r="Q210" s="25">
        <f t="shared" ca="1" si="23"/>
        <v>0</v>
      </c>
      <c r="R210" s="24">
        <f ca="1">IF(AND(P210=0,Q210=0),0,IFERROR(MAX(ROUNDUP(P210/INDEX(tblClusters[vCPU / noeud (deduit)],MATCH($B210,tblClusters[Cluster],0)),0),ROUNDUP(Q210/INDEX(tblClusters[RAM / noeud - Go (deduit)],MATCH($B210,tblClusters[Cluster],0)),0)),"Flavor a definir"))</f>
        <v>0</v>
      </c>
    </row>
    <row r="211" spans="1:18" x14ac:dyDescent="0.2">
      <c r="A211" s="38">
        <v>46447</v>
      </c>
      <c r="B211" s="21" t="s">
        <v>189</v>
      </c>
      <c r="C211" s="28" t="str">
        <f>IFERROR(INDEX(tblClusters[Utilisation],MATCH($B211,tblClusters[Cluster],0)),"")</f>
        <v>PREZ-I GIE PROD</v>
      </c>
      <c r="D211" s="28" t="str">
        <f>IFERROR(INDEX(tblClusters[Type (deduit)],MATCH($B211,tblClusters[Cluster],0)),"")</f>
        <v>Dedie</v>
      </c>
      <c r="E211" s="24">
        <f>IFERROR(INDEX(tblClusters[CPU max (cores)],MATCH($B211,tblClusters[Cluster],0)),0)</f>
        <v>48</v>
      </c>
      <c r="F211" s="24">
        <f>IFERROR(INDEX(tblClusters[RAM max (Go)],MATCH($B211,tblClusters[Cluster],0)),0)</f>
        <v>240</v>
      </c>
      <c r="G211" s="24">
        <f>IFERROR(INDEX(tblClusters[Charge existante CPU hors migration],MATCH($B211,tblClusters[Cluster],0)),0)</f>
        <v>0</v>
      </c>
      <c r="H211" s="24">
        <f>IFERROR(INDEX(tblClusters[Charge existante RAM hors migration (Go)],MATCH($B211,tblClusters[Cluster],0)),0)</f>
        <v>0</v>
      </c>
      <c r="I211" s="24">
        <f ca="1">SUMIFS(tblApplications[CPU cible ROKS],tblApplications[Cluster ROKS cible (auto)],$B211,tblApplications[Mois de bascule prevu],"&lt;="&amp;EOMONTH($A211,0),tblApplications[Inclus projection O/N],"O")</f>
        <v>0</v>
      </c>
      <c r="J211" s="24">
        <f ca="1">SUMIFS(tblApplications[RAM cible ROKS],tblApplications[Cluster ROKS cible (auto)],$B211,tblApplications[Mois de bascule prevu],"&lt;="&amp;EOMONTH($A211,0),tblApplications[Inclus projection O/N],"O")</f>
        <v>0</v>
      </c>
      <c r="K211" s="25">
        <f t="shared" ca="1" si="18"/>
        <v>0</v>
      </c>
      <c r="L211" s="25">
        <f t="shared" ca="1" si="19"/>
        <v>0</v>
      </c>
      <c r="M211" s="26">
        <f t="shared" ca="1" si="20"/>
        <v>0</v>
      </c>
      <c r="N211" s="26">
        <f t="shared" ca="1" si="21"/>
        <v>0</v>
      </c>
      <c r="O211" s="22" t="str">
        <f ca="1">IF(E211=0,IF(K211&gt;0,"Cluster sans capacite provisionnee","n/a"),IF(OR(M211&gt;=Clusters_ROKS!$AC$5,N211&gt;=Clusters_ROKS!$AC$5),"Seuil depasse","OK"))</f>
        <v>OK</v>
      </c>
      <c r="P211" s="25">
        <f t="shared" ca="1" si="22"/>
        <v>0</v>
      </c>
      <c r="Q211" s="25">
        <f t="shared" ca="1" si="23"/>
        <v>0</v>
      </c>
      <c r="R211" s="24">
        <f ca="1">IF(AND(P211=0,Q211=0),0,IFERROR(MAX(ROUNDUP(P211/INDEX(tblClusters[vCPU / noeud (deduit)],MATCH($B211,tblClusters[Cluster],0)),0),ROUNDUP(Q211/INDEX(tblClusters[RAM / noeud - Go (deduit)],MATCH($B211,tblClusters[Cluster],0)),0)),"Flavor a definir"))</f>
        <v>0</v>
      </c>
    </row>
    <row r="212" spans="1:18" x14ac:dyDescent="0.2">
      <c r="A212" s="38">
        <v>46478</v>
      </c>
      <c r="B212" s="21" t="s">
        <v>189</v>
      </c>
      <c r="C212" s="28" t="str">
        <f>IFERROR(INDEX(tblClusters[Utilisation],MATCH($B212,tblClusters[Cluster],0)),"")</f>
        <v>PREZ-I GIE PROD</v>
      </c>
      <c r="D212" s="28" t="str">
        <f>IFERROR(INDEX(tblClusters[Type (deduit)],MATCH($B212,tblClusters[Cluster],0)),"")</f>
        <v>Dedie</v>
      </c>
      <c r="E212" s="24">
        <f>IFERROR(INDEX(tblClusters[CPU max (cores)],MATCH($B212,tblClusters[Cluster],0)),0)</f>
        <v>48</v>
      </c>
      <c r="F212" s="24">
        <f>IFERROR(INDEX(tblClusters[RAM max (Go)],MATCH($B212,tblClusters[Cluster],0)),0)</f>
        <v>240</v>
      </c>
      <c r="G212" s="24">
        <f>IFERROR(INDEX(tblClusters[Charge existante CPU hors migration],MATCH($B212,tblClusters[Cluster],0)),0)</f>
        <v>0</v>
      </c>
      <c r="H212" s="24">
        <f>IFERROR(INDEX(tblClusters[Charge existante RAM hors migration (Go)],MATCH($B212,tblClusters[Cluster],0)),0)</f>
        <v>0</v>
      </c>
      <c r="I212" s="24">
        <f ca="1">SUMIFS(tblApplications[CPU cible ROKS],tblApplications[Cluster ROKS cible (auto)],$B212,tblApplications[Mois de bascule prevu],"&lt;="&amp;EOMONTH($A212,0),tblApplications[Inclus projection O/N],"O")</f>
        <v>0</v>
      </c>
      <c r="J212" s="24">
        <f ca="1">SUMIFS(tblApplications[RAM cible ROKS],tblApplications[Cluster ROKS cible (auto)],$B212,tblApplications[Mois de bascule prevu],"&lt;="&amp;EOMONTH($A212,0),tblApplications[Inclus projection O/N],"O")</f>
        <v>0</v>
      </c>
      <c r="K212" s="25">
        <f t="shared" ca="1" si="18"/>
        <v>0</v>
      </c>
      <c r="L212" s="25">
        <f t="shared" ca="1" si="19"/>
        <v>0</v>
      </c>
      <c r="M212" s="26">
        <f t="shared" ca="1" si="20"/>
        <v>0</v>
      </c>
      <c r="N212" s="26">
        <f t="shared" ca="1" si="21"/>
        <v>0</v>
      </c>
      <c r="O212" s="22" t="str">
        <f ca="1">IF(E212=0,IF(K212&gt;0,"Cluster sans capacite provisionnee","n/a"),IF(OR(M212&gt;=Clusters_ROKS!$AC$5,N212&gt;=Clusters_ROKS!$AC$5),"Seuil depasse","OK"))</f>
        <v>OK</v>
      </c>
      <c r="P212" s="25">
        <f t="shared" ca="1" si="22"/>
        <v>0</v>
      </c>
      <c r="Q212" s="25">
        <f t="shared" ca="1" si="23"/>
        <v>0</v>
      </c>
      <c r="R212" s="24">
        <f ca="1">IF(AND(P212=0,Q212=0),0,IFERROR(MAX(ROUNDUP(P212/INDEX(tblClusters[vCPU / noeud (deduit)],MATCH($B212,tblClusters[Cluster],0)),0),ROUNDUP(Q212/INDEX(tblClusters[RAM / noeud - Go (deduit)],MATCH($B212,tblClusters[Cluster],0)),0)),"Flavor a definir"))</f>
        <v>0</v>
      </c>
    </row>
    <row r="213" spans="1:18" x14ac:dyDescent="0.2">
      <c r="A213" s="38">
        <v>46508</v>
      </c>
      <c r="B213" s="21" t="s">
        <v>189</v>
      </c>
      <c r="C213" s="28" t="str">
        <f>IFERROR(INDEX(tblClusters[Utilisation],MATCH($B213,tblClusters[Cluster],0)),"")</f>
        <v>PREZ-I GIE PROD</v>
      </c>
      <c r="D213" s="28" t="str">
        <f>IFERROR(INDEX(tblClusters[Type (deduit)],MATCH($B213,tblClusters[Cluster],0)),"")</f>
        <v>Dedie</v>
      </c>
      <c r="E213" s="24">
        <f>IFERROR(INDEX(tblClusters[CPU max (cores)],MATCH($B213,tblClusters[Cluster],0)),0)</f>
        <v>48</v>
      </c>
      <c r="F213" s="24">
        <f>IFERROR(INDEX(tblClusters[RAM max (Go)],MATCH($B213,tblClusters[Cluster],0)),0)</f>
        <v>240</v>
      </c>
      <c r="G213" s="24">
        <f>IFERROR(INDEX(tblClusters[Charge existante CPU hors migration],MATCH($B213,tblClusters[Cluster],0)),0)</f>
        <v>0</v>
      </c>
      <c r="H213" s="24">
        <f>IFERROR(INDEX(tblClusters[Charge existante RAM hors migration (Go)],MATCH($B213,tblClusters[Cluster],0)),0)</f>
        <v>0</v>
      </c>
      <c r="I213" s="24">
        <f ca="1">SUMIFS(tblApplications[CPU cible ROKS],tblApplications[Cluster ROKS cible (auto)],$B213,tblApplications[Mois de bascule prevu],"&lt;="&amp;EOMONTH($A213,0),tblApplications[Inclus projection O/N],"O")</f>
        <v>0</v>
      </c>
      <c r="J213" s="24">
        <f ca="1">SUMIFS(tblApplications[RAM cible ROKS],tblApplications[Cluster ROKS cible (auto)],$B213,tblApplications[Mois de bascule prevu],"&lt;="&amp;EOMONTH($A213,0),tblApplications[Inclus projection O/N],"O")</f>
        <v>0</v>
      </c>
      <c r="K213" s="25">
        <f t="shared" ca="1" si="18"/>
        <v>0</v>
      </c>
      <c r="L213" s="25">
        <f t="shared" ca="1" si="19"/>
        <v>0</v>
      </c>
      <c r="M213" s="26">
        <f t="shared" ca="1" si="20"/>
        <v>0</v>
      </c>
      <c r="N213" s="26">
        <f t="shared" ca="1" si="21"/>
        <v>0</v>
      </c>
      <c r="O213" s="22" t="str">
        <f ca="1">IF(E213=0,IF(K213&gt;0,"Cluster sans capacite provisionnee","n/a"),IF(OR(M213&gt;=Clusters_ROKS!$AC$5,N213&gt;=Clusters_ROKS!$AC$5),"Seuil depasse","OK"))</f>
        <v>OK</v>
      </c>
      <c r="P213" s="25">
        <f t="shared" ca="1" si="22"/>
        <v>0</v>
      </c>
      <c r="Q213" s="25">
        <f t="shared" ca="1" si="23"/>
        <v>0</v>
      </c>
      <c r="R213" s="24">
        <f ca="1">IF(AND(P213=0,Q213=0),0,IFERROR(MAX(ROUNDUP(P213/INDEX(tblClusters[vCPU / noeud (deduit)],MATCH($B213,tblClusters[Cluster],0)),0),ROUNDUP(Q213/INDEX(tblClusters[RAM / noeud - Go (deduit)],MATCH($B213,tblClusters[Cluster],0)),0)),"Flavor a definir"))</f>
        <v>0</v>
      </c>
    </row>
    <row r="214" spans="1:18" x14ac:dyDescent="0.2">
      <c r="A214" s="38">
        <v>46539</v>
      </c>
      <c r="B214" s="21" t="s">
        <v>189</v>
      </c>
      <c r="C214" s="28" t="str">
        <f>IFERROR(INDEX(tblClusters[Utilisation],MATCH($B214,tblClusters[Cluster],0)),"")</f>
        <v>PREZ-I GIE PROD</v>
      </c>
      <c r="D214" s="28" t="str">
        <f>IFERROR(INDEX(tblClusters[Type (deduit)],MATCH($B214,tblClusters[Cluster],0)),"")</f>
        <v>Dedie</v>
      </c>
      <c r="E214" s="24">
        <f>IFERROR(INDEX(tblClusters[CPU max (cores)],MATCH($B214,tblClusters[Cluster],0)),0)</f>
        <v>48</v>
      </c>
      <c r="F214" s="24">
        <f>IFERROR(INDEX(tblClusters[RAM max (Go)],MATCH($B214,tblClusters[Cluster],0)),0)</f>
        <v>240</v>
      </c>
      <c r="G214" s="24">
        <f>IFERROR(INDEX(tblClusters[Charge existante CPU hors migration],MATCH($B214,tblClusters[Cluster],0)),0)</f>
        <v>0</v>
      </c>
      <c r="H214" s="24">
        <f>IFERROR(INDEX(tblClusters[Charge existante RAM hors migration (Go)],MATCH($B214,tblClusters[Cluster],0)),0)</f>
        <v>0</v>
      </c>
      <c r="I214" s="24">
        <f ca="1">SUMIFS(tblApplications[CPU cible ROKS],tblApplications[Cluster ROKS cible (auto)],$B214,tblApplications[Mois de bascule prevu],"&lt;="&amp;EOMONTH($A214,0),tblApplications[Inclus projection O/N],"O")</f>
        <v>0</v>
      </c>
      <c r="J214" s="24">
        <f ca="1">SUMIFS(tblApplications[RAM cible ROKS],tblApplications[Cluster ROKS cible (auto)],$B214,tblApplications[Mois de bascule prevu],"&lt;="&amp;EOMONTH($A214,0),tblApplications[Inclus projection O/N],"O")</f>
        <v>0</v>
      </c>
      <c r="K214" s="25">
        <f t="shared" ca="1" si="18"/>
        <v>0</v>
      </c>
      <c r="L214" s="25">
        <f t="shared" ca="1" si="19"/>
        <v>0</v>
      </c>
      <c r="M214" s="26">
        <f t="shared" ca="1" si="20"/>
        <v>0</v>
      </c>
      <c r="N214" s="26">
        <f t="shared" ca="1" si="21"/>
        <v>0</v>
      </c>
      <c r="O214" s="22" t="str">
        <f ca="1">IF(E214=0,IF(K214&gt;0,"Cluster sans capacite provisionnee","n/a"),IF(OR(M214&gt;=Clusters_ROKS!$AC$5,N214&gt;=Clusters_ROKS!$AC$5),"Seuil depasse","OK"))</f>
        <v>OK</v>
      </c>
      <c r="P214" s="25">
        <f t="shared" ca="1" si="22"/>
        <v>0</v>
      </c>
      <c r="Q214" s="25">
        <f t="shared" ca="1" si="23"/>
        <v>0</v>
      </c>
      <c r="R214" s="24">
        <f ca="1">IF(AND(P214=0,Q214=0),0,IFERROR(MAX(ROUNDUP(P214/INDEX(tblClusters[vCPU / noeud (deduit)],MATCH($B214,tblClusters[Cluster],0)),0),ROUNDUP(Q214/INDEX(tblClusters[RAM / noeud - Go (deduit)],MATCH($B214,tblClusters[Cluster],0)),0)),"Flavor a definir"))</f>
        <v>0</v>
      </c>
    </row>
    <row r="215" spans="1:18" x14ac:dyDescent="0.2">
      <c r="A215" s="38">
        <v>46569</v>
      </c>
      <c r="B215" s="21" t="s">
        <v>189</v>
      </c>
      <c r="C215" s="28" t="str">
        <f>IFERROR(INDEX(tblClusters[Utilisation],MATCH($B215,tblClusters[Cluster],0)),"")</f>
        <v>PREZ-I GIE PROD</v>
      </c>
      <c r="D215" s="28" t="str">
        <f>IFERROR(INDEX(tblClusters[Type (deduit)],MATCH($B215,tblClusters[Cluster],0)),"")</f>
        <v>Dedie</v>
      </c>
      <c r="E215" s="24">
        <f>IFERROR(INDEX(tblClusters[CPU max (cores)],MATCH($B215,tblClusters[Cluster],0)),0)</f>
        <v>48</v>
      </c>
      <c r="F215" s="24">
        <f>IFERROR(INDEX(tblClusters[RAM max (Go)],MATCH($B215,tblClusters[Cluster],0)),0)</f>
        <v>240</v>
      </c>
      <c r="G215" s="24">
        <f>IFERROR(INDEX(tblClusters[Charge existante CPU hors migration],MATCH($B215,tblClusters[Cluster],0)),0)</f>
        <v>0</v>
      </c>
      <c r="H215" s="24">
        <f>IFERROR(INDEX(tblClusters[Charge existante RAM hors migration (Go)],MATCH($B215,tblClusters[Cluster],0)),0)</f>
        <v>0</v>
      </c>
      <c r="I215" s="24">
        <f ca="1">SUMIFS(tblApplications[CPU cible ROKS],tblApplications[Cluster ROKS cible (auto)],$B215,tblApplications[Mois de bascule prevu],"&lt;="&amp;EOMONTH($A215,0),tblApplications[Inclus projection O/N],"O")</f>
        <v>0</v>
      </c>
      <c r="J215" s="24">
        <f ca="1">SUMIFS(tblApplications[RAM cible ROKS],tblApplications[Cluster ROKS cible (auto)],$B215,tblApplications[Mois de bascule prevu],"&lt;="&amp;EOMONTH($A215,0),tblApplications[Inclus projection O/N],"O")</f>
        <v>0</v>
      </c>
      <c r="K215" s="25">
        <f t="shared" ca="1" si="18"/>
        <v>0</v>
      </c>
      <c r="L215" s="25">
        <f t="shared" ca="1" si="19"/>
        <v>0</v>
      </c>
      <c r="M215" s="26">
        <f t="shared" ca="1" si="20"/>
        <v>0</v>
      </c>
      <c r="N215" s="26">
        <f t="shared" ca="1" si="21"/>
        <v>0</v>
      </c>
      <c r="O215" s="22" t="str">
        <f ca="1">IF(E215=0,IF(K215&gt;0,"Cluster sans capacite provisionnee","n/a"),IF(OR(M215&gt;=Clusters_ROKS!$AC$5,N215&gt;=Clusters_ROKS!$AC$5),"Seuil depasse","OK"))</f>
        <v>OK</v>
      </c>
      <c r="P215" s="25">
        <f t="shared" ca="1" si="22"/>
        <v>0</v>
      </c>
      <c r="Q215" s="25">
        <f t="shared" ca="1" si="23"/>
        <v>0</v>
      </c>
      <c r="R215" s="24">
        <f ca="1">IF(AND(P215=0,Q215=0),0,IFERROR(MAX(ROUNDUP(P215/INDEX(tblClusters[vCPU / noeud (deduit)],MATCH($B215,tblClusters[Cluster],0)),0),ROUNDUP(Q215/INDEX(tblClusters[RAM / noeud - Go (deduit)],MATCH($B215,tblClusters[Cluster],0)),0)),"Flavor a definir"))</f>
        <v>0</v>
      </c>
    </row>
    <row r="216" spans="1:18" x14ac:dyDescent="0.2">
      <c r="A216" s="38">
        <v>46600</v>
      </c>
      <c r="B216" s="21" t="s">
        <v>189</v>
      </c>
      <c r="C216" s="28" t="str">
        <f>IFERROR(INDEX(tblClusters[Utilisation],MATCH($B216,tblClusters[Cluster],0)),"")</f>
        <v>PREZ-I GIE PROD</v>
      </c>
      <c r="D216" s="28" t="str">
        <f>IFERROR(INDEX(tblClusters[Type (deduit)],MATCH($B216,tblClusters[Cluster],0)),"")</f>
        <v>Dedie</v>
      </c>
      <c r="E216" s="24">
        <f>IFERROR(INDEX(tblClusters[CPU max (cores)],MATCH($B216,tblClusters[Cluster],0)),0)</f>
        <v>48</v>
      </c>
      <c r="F216" s="24">
        <f>IFERROR(INDEX(tblClusters[RAM max (Go)],MATCH($B216,tblClusters[Cluster],0)),0)</f>
        <v>240</v>
      </c>
      <c r="G216" s="24">
        <f>IFERROR(INDEX(tblClusters[Charge existante CPU hors migration],MATCH($B216,tblClusters[Cluster],0)),0)</f>
        <v>0</v>
      </c>
      <c r="H216" s="24">
        <f>IFERROR(INDEX(tblClusters[Charge existante RAM hors migration (Go)],MATCH($B216,tblClusters[Cluster],0)),0)</f>
        <v>0</v>
      </c>
      <c r="I216" s="24">
        <f ca="1">SUMIFS(tblApplications[CPU cible ROKS],tblApplications[Cluster ROKS cible (auto)],$B216,tblApplications[Mois de bascule prevu],"&lt;="&amp;EOMONTH($A216,0),tblApplications[Inclus projection O/N],"O")</f>
        <v>0</v>
      </c>
      <c r="J216" s="24">
        <f ca="1">SUMIFS(tblApplications[RAM cible ROKS],tblApplications[Cluster ROKS cible (auto)],$B216,tblApplications[Mois de bascule prevu],"&lt;="&amp;EOMONTH($A216,0),tblApplications[Inclus projection O/N],"O")</f>
        <v>0</v>
      </c>
      <c r="K216" s="25">
        <f t="shared" ca="1" si="18"/>
        <v>0</v>
      </c>
      <c r="L216" s="25">
        <f t="shared" ca="1" si="19"/>
        <v>0</v>
      </c>
      <c r="M216" s="26">
        <f t="shared" ca="1" si="20"/>
        <v>0</v>
      </c>
      <c r="N216" s="26">
        <f t="shared" ca="1" si="21"/>
        <v>0</v>
      </c>
      <c r="O216" s="22" t="str">
        <f ca="1">IF(E216=0,IF(K216&gt;0,"Cluster sans capacite provisionnee","n/a"),IF(OR(M216&gt;=Clusters_ROKS!$AC$5,N216&gt;=Clusters_ROKS!$AC$5),"Seuil depasse","OK"))</f>
        <v>OK</v>
      </c>
      <c r="P216" s="25">
        <f t="shared" ca="1" si="22"/>
        <v>0</v>
      </c>
      <c r="Q216" s="25">
        <f t="shared" ca="1" si="23"/>
        <v>0</v>
      </c>
      <c r="R216" s="24">
        <f ca="1">IF(AND(P216=0,Q216=0),0,IFERROR(MAX(ROUNDUP(P216/INDEX(tblClusters[vCPU / noeud (deduit)],MATCH($B216,tblClusters[Cluster],0)),0),ROUNDUP(Q216/INDEX(tblClusters[RAM / noeud - Go (deduit)],MATCH($B216,tblClusters[Cluster],0)),0)),"Flavor a definir"))</f>
        <v>0</v>
      </c>
    </row>
    <row r="217" spans="1:18" x14ac:dyDescent="0.2">
      <c r="A217" s="38">
        <v>46631</v>
      </c>
      <c r="B217" s="21" t="s">
        <v>189</v>
      </c>
      <c r="C217" s="28" t="str">
        <f>IFERROR(INDEX(tblClusters[Utilisation],MATCH($B217,tblClusters[Cluster],0)),"")</f>
        <v>PREZ-I GIE PROD</v>
      </c>
      <c r="D217" s="28" t="str">
        <f>IFERROR(INDEX(tblClusters[Type (deduit)],MATCH($B217,tblClusters[Cluster],0)),"")</f>
        <v>Dedie</v>
      </c>
      <c r="E217" s="24">
        <f>IFERROR(INDEX(tblClusters[CPU max (cores)],MATCH($B217,tblClusters[Cluster],0)),0)</f>
        <v>48</v>
      </c>
      <c r="F217" s="24">
        <f>IFERROR(INDEX(tblClusters[RAM max (Go)],MATCH($B217,tblClusters[Cluster],0)),0)</f>
        <v>240</v>
      </c>
      <c r="G217" s="24">
        <f>IFERROR(INDEX(tblClusters[Charge existante CPU hors migration],MATCH($B217,tblClusters[Cluster],0)),0)</f>
        <v>0</v>
      </c>
      <c r="H217" s="24">
        <f>IFERROR(INDEX(tblClusters[Charge existante RAM hors migration (Go)],MATCH($B217,tblClusters[Cluster],0)),0)</f>
        <v>0</v>
      </c>
      <c r="I217" s="24">
        <f ca="1">SUMIFS(tblApplications[CPU cible ROKS],tblApplications[Cluster ROKS cible (auto)],$B217,tblApplications[Mois de bascule prevu],"&lt;="&amp;EOMONTH($A217,0),tblApplications[Inclus projection O/N],"O")</f>
        <v>0</v>
      </c>
      <c r="J217" s="24">
        <f ca="1">SUMIFS(tblApplications[RAM cible ROKS],tblApplications[Cluster ROKS cible (auto)],$B217,tblApplications[Mois de bascule prevu],"&lt;="&amp;EOMONTH($A217,0),tblApplications[Inclus projection O/N],"O")</f>
        <v>0</v>
      </c>
      <c r="K217" s="25">
        <f t="shared" ca="1" si="18"/>
        <v>0</v>
      </c>
      <c r="L217" s="25">
        <f t="shared" ca="1" si="19"/>
        <v>0</v>
      </c>
      <c r="M217" s="26">
        <f t="shared" ca="1" si="20"/>
        <v>0</v>
      </c>
      <c r="N217" s="26">
        <f t="shared" ca="1" si="21"/>
        <v>0</v>
      </c>
      <c r="O217" s="22" t="str">
        <f ca="1">IF(E217=0,IF(K217&gt;0,"Cluster sans capacite provisionnee","n/a"),IF(OR(M217&gt;=Clusters_ROKS!$AC$5,N217&gt;=Clusters_ROKS!$AC$5),"Seuil depasse","OK"))</f>
        <v>OK</v>
      </c>
      <c r="P217" s="25">
        <f t="shared" ca="1" si="22"/>
        <v>0</v>
      </c>
      <c r="Q217" s="25">
        <f t="shared" ca="1" si="23"/>
        <v>0</v>
      </c>
      <c r="R217" s="24">
        <f ca="1">IF(AND(P217=0,Q217=0),0,IFERROR(MAX(ROUNDUP(P217/INDEX(tblClusters[vCPU / noeud (deduit)],MATCH($B217,tblClusters[Cluster],0)),0),ROUNDUP(Q217/INDEX(tblClusters[RAM / noeud - Go (deduit)],MATCH($B217,tblClusters[Cluster],0)),0)),"Flavor a definir"))</f>
        <v>0</v>
      </c>
    </row>
    <row r="218" spans="1:18" x14ac:dyDescent="0.2">
      <c r="A218" s="38">
        <v>46661</v>
      </c>
      <c r="B218" s="21" t="s">
        <v>189</v>
      </c>
      <c r="C218" s="28" t="str">
        <f>IFERROR(INDEX(tblClusters[Utilisation],MATCH($B218,tblClusters[Cluster],0)),"")</f>
        <v>PREZ-I GIE PROD</v>
      </c>
      <c r="D218" s="28" t="str">
        <f>IFERROR(INDEX(tblClusters[Type (deduit)],MATCH($B218,tblClusters[Cluster],0)),"")</f>
        <v>Dedie</v>
      </c>
      <c r="E218" s="24">
        <f>IFERROR(INDEX(tblClusters[CPU max (cores)],MATCH($B218,tblClusters[Cluster],0)),0)</f>
        <v>48</v>
      </c>
      <c r="F218" s="24">
        <f>IFERROR(INDEX(tblClusters[RAM max (Go)],MATCH($B218,tblClusters[Cluster],0)),0)</f>
        <v>240</v>
      </c>
      <c r="G218" s="24">
        <f>IFERROR(INDEX(tblClusters[Charge existante CPU hors migration],MATCH($B218,tblClusters[Cluster],0)),0)</f>
        <v>0</v>
      </c>
      <c r="H218" s="24">
        <f>IFERROR(INDEX(tblClusters[Charge existante RAM hors migration (Go)],MATCH($B218,tblClusters[Cluster],0)),0)</f>
        <v>0</v>
      </c>
      <c r="I218" s="24">
        <f ca="1">SUMIFS(tblApplications[CPU cible ROKS],tblApplications[Cluster ROKS cible (auto)],$B218,tblApplications[Mois de bascule prevu],"&lt;="&amp;EOMONTH($A218,0),tblApplications[Inclus projection O/N],"O")</f>
        <v>0</v>
      </c>
      <c r="J218" s="24">
        <f ca="1">SUMIFS(tblApplications[RAM cible ROKS],tblApplications[Cluster ROKS cible (auto)],$B218,tblApplications[Mois de bascule prevu],"&lt;="&amp;EOMONTH($A218,0),tblApplications[Inclus projection O/N],"O")</f>
        <v>0</v>
      </c>
      <c r="K218" s="25">
        <f t="shared" ca="1" si="18"/>
        <v>0</v>
      </c>
      <c r="L218" s="25">
        <f t="shared" ca="1" si="19"/>
        <v>0</v>
      </c>
      <c r="M218" s="26">
        <f t="shared" ca="1" si="20"/>
        <v>0</v>
      </c>
      <c r="N218" s="26">
        <f t="shared" ca="1" si="21"/>
        <v>0</v>
      </c>
      <c r="O218" s="22" t="str">
        <f ca="1">IF(E218=0,IF(K218&gt;0,"Cluster sans capacite provisionnee","n/a"),IF(OR(M218&gt;=Clusters_ROKS!$AC$5,N218&gt;=Clusters_ROKS!$AC$5),"Seuil depasse","OK"))</f>
        <v>OK</v>
      </c>
      <c r="P218" s="25">
        <f t="shared" ca="1" si="22"/>
        <v>0</v>
      </c>
      <c r="Q218" s="25">
        <f t="shared" ca="1" si="23"/>
        <v>0</v>
      </c>
      <c r="R218" s="24">
        <f ca="1">IF(AND(P218=0,Q218=0),0,IFERROR(MAX(ROUNDUP(P218/INDEX(tblClusters[vCPU / noeud (deduit)],MATCH($B218,tblClusters[Cluster],0)),0),ROUNDUP(Q218/INDEX(tblClusters[RAM / noeud - Go (deduit)],MATCH($B218,tblClusters[Cluster],0)),0)),"Flavor a definir"))</f>
        <v>0</v>
      </c>
    </row>
    <row r="219" spans="1:18" x14ac:dyDescent="0.2">
      <c r="A219" s="38">
        <v>46692</v>
      </c>
      <c r="B219" s="21" t="s">
        <v>189</v>
      </c>
      <c r="C219" s="28" t="str">
        <f>IFERROR(INDEX(tblClusters[Utilisation],MATCH($B219,tblClusters[Cluster],0)),"")</f>
        <v>PREZ-I GIE PROD</v>
      </c>
      <c r="D219" s="28" t="str">
        <f>IFERROR(INDEX(tblClusters[Type (deduit)],MATCH($B219,tblClusters[Cluster],0)),"")</f>
        <v>Dedie</v>
      </c>
      <c r="E219" s="24">
        <f>IFERROR(INDEX(tblClusters[CPU max (cores)],MATCH($B219,tblClusters[Cluster],0)),0)</f>
        <v>48</v>
      </c>
      <c r="F219" s="24">
        <f>IFERROR(INDEX(tblClusters[RAM max (Go)],MATCH($B219,tblClusters[Cluster],0)),0)</f>
        <v>240</v>
      </c>
      <c r="G219" s="24">
        <f>IFERROR(INDEX(tblClusters[Charge existante CPU hors migration],MATCH($B219,tblClusters[Cluster],0)),0)</f>
        <v>0</v>
      </c>
      <c r="H219" s="24">
        <f>IFERROR(INDEX(tblClusters[Charge existante RAM hors migration (Go)],MATCH($B219,tblClusters[Cluster],0)),0)</f>
        <v>0</v>
      </c>
      <c r="I219" s="24">
        <f ca="1">SUMIFS(tblApplications[CPU cible ROKS],tblApplications[Cluster ROKS cible (auto)],$B219,tblApplications[Mois de bascule prevu],"&lt;="&amp;EOMONTH($A219,0),tblApplications[Inclus projection O/N],"O")</f>
        <v>0</v>
      </c>
      <c r="J219" s="24">
        <f ca="1">SUMIFS(tblApplications[RAM cible ROKS],tblApplications[Cluster ROKS cible (auto)],$B219,tblApplications[Mois de bascule prevu],"&lt;="&amp;EOMONTH($A219,0),tblApplications[Inclus projection O/N],"O")</f>
        <v>0</v>
      </c>
      <c r="K219" s="25">
        <f t="shared" ca="1" si="18"/>
        <v>0</v>
      </c>
      <c r="L219" s="25">
        <f t="shared" ca="1" si="19"/>
        <v>0</v>
      </c>
      <c r="M219" s="26">
        <f t="shared" ca="1" si="20"/>
        <v>0</v>
      </c>
      <c r="N219" s="26">
        <f t="shared" ca="1" si="21"/>
        <v>0</v>
      </c>
      <c r="O219" s="22" t="str">
        <f ca="1">IF(E219=0,IF(K219&gt;0,"Cluster sans capacite provisionnee","n/a"),IF(OR(M219&gt;=Clusters_ROKS!$AC$5,N219&gt;=Clusters_ROKS!$AC$5),"Seuil depasse","OK"))</f>
        <v>OK</v>
      </c>
      <c r="P219" s="25">
        <f t="shared" ca="1" si="22"/>
        <v>0</v>
      </c>
      <c r="Q219" s="25">
        <f t="shared" ca="1" si="23"/>
        <v>0</v>
      </c>
      <c r="R219" s="24">
        <f ca="1">IF(AND(P219=0,Q219=0),0,IFERROR(MAX(ROUNDUP(P219/INDEX(tblClusters[vCPU / noeud (deduit)],MATCH($B219,tblClusters[Cluster],0)),0),ROUNDUP(Q219/INDEX(tblClusters[RAM / noeud - Go (deduit)],MATCH($B219,tblClusters[Cluster],0)),0)),"Flavor a definir"))</f>
        <v>0</v>
      </c>
    </row>
    <row r="220" spans="1:18" x14ac:dyDescent="0.2">
      <c r="A220" s="38">
        <v>46722</v>
      </c>
      <c r="B220" s="21" t="s">
        <v>189</v>
      </c>
      <c r="C220" s="28" t="str">
        <f>IFERROR(INDEX(tblClusters[Utilisation],MATCH($B220,tblClusters[Cluster],0)),"")</f>
        <v>PREZ-I GIE PROD</v>
      </c>
      <c r="D220" s="28" t="str">
        <f>IFERROR(INDEX(tblClusters[Type (deduit)],MATCH($B220,tblClusters[Cluster],0)),"")</f>
        <v>Dedie</v>
      </c>
      <c r="E220" s="24">
        <f>IFERROR(INDEX(tblClusters[CPU max (cores)],MATCH($B220,tblClusters[Cluster],0)),0)</f>
        <v>48</v>
      </c>
      <c r="F220" s="24">
        <f>IFERROR(INDEX(tblClusters[RAM max (Go)],MATCH($B220,tblClusters[Cluster],0)),0)</f>
        <v>240</v>
      </c>
      <c r="G220" s="24">
        <f>IFERROR(INDEX(tblClusters[Charge existante CPU hors migration],MATCH($B220,tblClusters[Cluster],0)),0)</f>
        <v>0</v>
      </c>
      <c r="H220" s="24">
        <f>IFERROR(INDEX(tblClusters[Charge existante RAM hors migration (Go)],MATCH($B220,tblClusters[Cluster],0)),0)</f>
        <v>0</v>
      </c>
      <c r="I220" s="24">
        <f ca="1">SUMIFS(tblApplications[CPU cible ROKS],tblApplications[Cluster ROKS cible (auto)],$B220,tblApplications[Mois de bascule prevu],"&lt;="&amp;EOMONTH($A220,0),tblApplications[Inclus projection O/N],"O")</f>
        <v>0</v>
      </c>
      <c r="J220" s="24">
        <f ca="1">SUMIFS(tblApplications[RAM cible ROKS],tblApplications[Cluster ROKS cible (auto)],$B220,tblApplications[Mois de bascule prevu],"&lt;="&amp;EOMONTH($A220,0),tblApplications[Inclus projection O/N],"O")</f>
        <v>0</v>
      </c>
      <c r="K220" s="25">
        <f t="shared" ca="1" si="18"/>
        <v>0</v>
      </c>
      <c r="L220" s="25">
        <f t="shared" ca="1" si="19"/>
        <v>0</v>
      </c>
      <c r="M220" s="26">
        <f t="shared" ca="1" si="20"/>
        <v>0</v>
      </c>
      <c r="N220" s="26">
        <f t="shared" ca="1" si="21"/>
        <v>0</v>
      </c>
      <c r="O220" s="22" t="str">
        <f ca="1">IF(E220=0,IF(K220&gt;0,"Cluster sans capacite provisionnee","n/a"),IF(OR(M220&gt;=Clusters_ROKS!$AC$5,N220&gt;=Clusters_ROKS!$AC$5),"Seuil depasse","OK"))</f>
        <v>OK</v>
      </c>
      <c r="P220" s="25">
        <f t="shared" ca="1" si="22"/>
        <v>0</v>
      </c>
      <c r="Q220" s="25">
        <f t="shared" ca="1" si="23"/>
        <v>0</v>
      </c>
      <c r="R220" s="24">
        <f ca="1">IF(AND(P220=0,Q220=0),0,IFERROR(MAX(ROUNDUP(P220/INDEX(tblClusters[vCPU / noeud (deduit)],MATCH($B220,tblClusters[Cluster],0)),0),ROUNDUP(Q220/INDEX(tblClusters[RAM / noeud - Go (deduit)],MATCH($B220,tblClusters[Cluster],0)),0)),"Flavor a definir"))</f>
        <v>0</v>
      </c>
    </row>
    <row r="221" spans="1:18" x14ac:dyDescent="0.2">
      <c r="A221" s="38">
        <v>46388</v>
      </c>
      <c r="B221" s="21" t="s">
        <v>192</v>
      </c>
      <c r="C221" s="28" t="str">
        <f>IFERROR(INDEX(tblClusters[Utilisation],MATCH($B221,tblClusters[Cluster],0)),"")</f>
        <v>PREZ-I GIE HORS-PROD</v>
      </c>
      <c r="D221" s="28" t="str">
        <f>IFERROR(INDEX(tblClusters[Type (deduit)],MATCH($B221,tblClusters[Cluster],0)),"")</f>
        <v>Dedie</v>
      </c>
      <c r="E221" s="24">
        <f>IFERROR(INDEX(tblClusters[CPU max (cores)],MATCH($B221,tblClusters[Cluster],0)),0)</f>
        <v>0</v>
      </c>
      <c r="F221" s="24">
        <f>IFERROR(INDEX(tblClusters[RAM max (Go)],MATCH($B221,tblClusters[Cluster],0)),0)</f>
        <v>0</v>
      </c>
      <c r="G221" s="24">
        <f>IFERROR(INDEX(tblClusters[Charge existante CPU hors migration],MATCH($B221,tblClusters[Cluster],0)),0)</f>
        <v>0</v>
      </c>
      <c r="H221" s="24">
        <f>IFERROR(INDEX(tblClusters[Charge existante RAM hors migration (Go)],MATCH($B221,tblClusters[Cluster],0)),0)</f>
        <v>0</v>
      </c>
      <c r="I221" s="24">
        <f ca="1">SUMIFS(tblApplications[CPU cible ROKS],tblApplications[Cluster ROKS cible (auto)],$B221,tblApplications[Mois de bascule prevu],"&lt;="&amp;EOMONTH($A221,0),tblApplications[Inclus projection O/N],"O")</f>
        <v>0</v>
      </c>
      <c r="J221" s="24">
        <f ca="1">SUMIFS(tblApplications[RAM cible ROKS],tblApplications[Cluster ROKS cible (auto)],$B221,tblApplications[Mois de bascule prevu],"&lt;="&amp;EOMONTH($A221,0),tblApplications[Inclus projection O/N],"O")</f>
        <v>0</v>
      </c>
      <c r="K221" s="25">
        <f t="shared" ca="1" si="18"/>
        <v>0</v>
      </c>
      <c r="L221" s="25">
        <f t="shared" ca="1" si="19"/>
        <v>0</v>
      </c>
      <c r="M221" s="26" t="str">
        <f t="shared" si="20"/>
        <v/>
      </c>
      <c r="N221" s="26" t="str">
        <f t="shared" si="21"/>
        <v/>
      </c>
      <c r="O221" s="22" t="str">
        <f ca="1">IF(E221=0,IF(K221&gt;0,"Cluster sans capacite provisionnee","n/a"),IF(OR(M221&gt;=Clusters_ROKS!$AC$5,N221&gt;=Clusters_ROKS!$AC$5),"Seuil depasse","OK"))</f>
        <v>n/a</v>
      </c>
      <c r="P221" s="25">
        <f t="shared" ca="1" si="22"/>
        <v>0</v>
      </c>
      <c r="Q221" s="25">
        <f t="shared" ca="1" si="23"/>
        <v>0</v>
      </c>
      <c r="R221" s="24">
        <f ca="1">IF(AND(P221=0,Q221=0),0,IFERROR(MAX(ROUNDUP(P221/INDEX(tblClusters[vCPU / noeud (deduit)],MATCH($B221,tblClusters[Cluster],0)),0),ROUNDUP(Q221/INDEX(tblClusters[RAM / noeud - Go (deduit)],MATCH($B221,tblClusters[Cluster],0)),0)),"Flavor a definir"))</f>
        <v>0</v>
      </c>
    </row>
    <row r="222" spans="1:18" x14ac:dyDescent="0.2">
      <c r="A222" s="38">
        <v>46419</v>
      </c>
      <c r="B222" s="21" t="s">
        <v>192</v>
      </c>
      <c r="C222" s="28" t="str">
        <f>IFERROR(INDEX(tblClusters[Utilisation],MATCH($B222,tblClusters[Cluster],0)),"")</f>
        <v>PREZ-I GIE HORS-PROD</v>
      </c>
      <c r="D222" s="28" t="str">
        <f>IFERROR(INDEX(tblClusters[Type (deduit)],MATCH($B222,tblClusters[Cluster],0)),"")</f>
        <v>Dedie</v>
      </c>
      <c r="E222" s="24">
        <f>IFERROR(INDEX(tblClusters[CPU max (cores)],MATCH($B222,tblClusters[Cluster],0)),0)</f>
        <v>0</v>
      </c>
      <c r="F222" s="24">
        <f>IFERROR(INDEX(tblClusters[RAM max (Go)],MATCH($B222,tblClusters[Cluster],0)),0)</f>
        <v>0</v>
      </c>
      <c r="G222" s="24">
        <f>IFERROR(INDEX(tblClusters[Charge existante CPU hors migration],MATCH($B222,tblClusters[Cluster],0)),0)</f>
        <v>0</v>
      </c>
      <c r="H222" s="24">
        <f>IFERROR(INDEX(tblClusters[Charge existante RAM hors migration (Go)],MATCH($B222,tblClusters[Cluster],0)),0)</f>
        <v>0</v>
      </c>
      <c r="I222" s="24">
        <f ca="1">SUMIFS(tblApplications[CPU cible ROKS],tblApplications[Cluster ROKS cible (auto)],$B222,tblApplications[Mois de bascule prevu],"&lt;="&amp;EOMONTH($A222,0),tblApplications[Inclus projection O/N],"O")</f>
        <v>0</v>
      </c>
      <c r="J222" s="24">
        <f ca="1">SUMIFS(tblApplications[RAM cible ROKS],tblApplications[Cluster ROKS cible (auto)],$B222,tblApplications[Mois de bascule prevu],"&lt;="&amp;EOMONTH($A222,0),tblApplications[Inclus projection O/N],"O")</f>
        <v>0</v>
      </c>
      <c r="K222" s="25">
        <f t="shared" ca="1" si="18"/>
        <v>0</v>
      </c>
      <c r="L222" s="25">
        <f t="shared" ca="1" si="19"/>
        <v>0</v>
      </c>
      <c r="M222" s="26" t="str">
        <f t="shared" si="20"/>
        <v/>
      </c>
      <c r="N222" s="26" t="str">
        <f t="shared" si="21"/>
        <v/>
      </c>
      <c r="O222" s="22" t="str">
        <f ca="1">IF(E222=0,IF(K222&gt;0,"Cluster sans capacite provisionnee","n/a"),IF(OR(M222&gt;=Clusters_ROKS!$AC$5,N222&gt;=Clusters_ROKS!$AC$5),"Seuil depasse","OK"))</f>
        <v>n/a</v>
      </c>
      <c r="P222" s="25">
        <f t="shared" ca="1" si="22"/>
        <v>0</v>
      </c>
      <c r="Q222" s="25">
        <f t="shared" ca="1" si="23"/>
        <v>0</v>
      </c>
      <c r="R222" s="24">
        <f ca="1">IF(AND(P222=0,Q222=0),0,IFERROR(MAX(ROUNDUP(P222/INDEX(tblClusters[vCPU / noeud (deduit)],MATCH($B222,tblClusters[Cluster],0)),0),ROUNDUP(Q222/INDEX(tblClusters[RAM / noeud - Go (deduit)],MATCH($B222,tblClusters[Cluster],0)),0)),"Flavor a definir"))</f>
        <v>0</v>
      </c>
    </row>
    <row r="223" spans="1:18" x14ac:dyDescent="0.2">
      <c r="A223" s="38">
        <v>46447</v>
      </c>
      <c r="B223" s="21" t="s">
        <v>192</v>
      </c>
      <c r="C223" s="28" t="str">
        <f>IFERROR(INDEX(tblClusters[Utilisation],MATCH($B223,tblClusters[Cluster],0)),"")</f>
        <v>PREZ-I GIE HORS-PROD</v>
      </c>
      <c r="D223" s="28" t="str">
        <f>IFERROR(INDEX(tblClusters[Type (deduit)],MATCH($B223,tblClusters[Cluster],0)),"")</f>
        <v>Dedie</v>
      </c>
      <c r="E223" s="24">
        <f>IFERROR(INDEX(tblClusters[CPU max (cores)],MATCH($B223,tblClusters[Cluster],0)),0)</f>
        <v>0</v>
      </c>
      <c r="F223" s="24">
        <f>IFERROR(INDEX(tblClusters[RAM max (Go)],MATCH($B223,tblClusters[Cluster],0)),0)</f>
        <v>0</v>
      </c>
      <c r="G223" s="24">
        <f>IFERROR(INDEX(tblClusters[Charge existante CPU hors migration],MATCH($B223,tblClusters[Cluster],0)),0)</f>
        <v>0</v>
      </c>
      <c r="H223" s="24">
        <f>IFERROR(INDEX(tblClusters[Charge existante RAM hors migration (Go)],MATCH($B223,tblClusters[Cluster],0)),0)</f>
        <v>0</v>
      </c>
      <c r="I223" s="24">
        <f ca="1">SUMIFS(tblApplications[CPU cible ROKS],tblApplications[Cluster ROKS cible (auto)],$B223,tblApplications[Mois de bascule prevu],"&lt;="&amp;EOMONTH($A223,0),tblApplications[Inclus projection O/N],"O")</f>
        <v>0</v>
      </c>
      <c r="J223" s="24">
        <f ca="1">SUMIFS(tblApplications[RAM cible ROKS],tblApplications[Cluster ROKS cible (auto)],$B223,tblApplications[Mois de bascule prevu],"&lt;="&amp;EOMONTH($A223,0),tblApplications[Inclus projection O/N],"O")</f>
        <v>0</v>
      </c>
      <c r="K223" s="25">
        <f t="shared" ca="1" si="18"/>
        <v>0</v>
      </c>
      <c r="L223" s="25">
        <f t="shared" ca="1" si="19"/>
        <v>0</v>
      </c>
      <c r="M223" s="26" t="str">
        <f t="shared" si="20"/>
        <v/>
      </c>
      <c r="N223" s="26" t="str">
        <f t="shared" si="21"/>
        <v/>
      </c>
      <c r="O223" s="22" t="str">
        <f ca="1">IF(E223=0,IF(K223&gt;0,"Cluster sans capacite provisionnee","n/a"),IF(OR(M223&gt;=Clusters_ROKS!$AC$5,N223&gt;=Clusters_ROKS!$AC$5),"Seuil depasse","OK"))</f>
        <v>n/a</v>
      </c>
      <c r="P223" s="25">
        <f t="shared" ca="1" si="22"/>
        <v>0</v>
      </c>
      <c r="Q223" s="25">
        <f t="shared" ca="1" si="23"/>
        <v>0</v>
      </c>
      <c r="R223" s="24">
        <f ca="1">IF(AND(P223=0,Q223=0),0,IFERROR(MAX(ROUNDUP(P223/INDEX(tblClusters[vCPU / noeud (deduit)],MATCH($B223,tblClusters[Cluster],0)),0),ROUNDUP(Q223/INDEX(tblClusters[RAM / noeud - Go (deduit)],MATCH($B223,tblClusters[Cluster],0)),0)),"Flavor a definir"))</f>
        <v>0</v>
      </c>
    </row>
    <row r="224" spans="1:18" x14ac:dyDescent="0.2">
      <c r="A224" s="38">
        <v>46478</v>
      </c>
      <c r="B224" s="21" t="s">
        <v>192</v>
      </c>
      <c r="C224" s="28" t="str">
        <f>IFERROR(INDEX(tblClusters[Utilisation],MATCH($B224,tblClusters[Cluster],0)),"")</f>
        <v>PREZ-I GIE HORS-PROD</v>
      </c>
      <c r="D224" s="28" t="str">
        <f>IFERROR(INDEX(tblClusters[Type (deduit)],MATCH($B224,tblClusters[Cluster],0)),"")</f>
        <v>Dedie</v>
      </c>
      <c r="E224" s="24">
        <f>IFERROR(INDEX(tblClusters[CPU max (cores)],MATCH($B224,tblClusters[Cluster],0)),0)</f>
        <v>0</v>
      </c>
      <c r="F224" s="24">
        <f>IFERROR(INDEX(tblClusters[RAM max (Go)],MATCH($B224,tblClusters[Cluster],0)),0)</f>
        <v>0</v>
      </c>
      <c r="G224" s="24">
        <f>IFERROR(INDEX(tblClusters[Charge existante CPU hors migration],MATCH($B224,tblClusters[Cluster],0)),0)</f>
        <v>0</v>
      </c>
      <c r="H224" s="24">
        <f>IFERROR(INDEX(tblClusters[Charge existante RAM hors migration (Go)],MATCH($B224,tblClusters[Cluster],0)),0)</f>
        <v>0</v>
      </c>
      <c r="I224" s="24">
        <f ca="1">SUMIFS(tblApplications[CPU cible ROKS],tblApplications[Cluster ROKS cible (auto)],$B224,tblApplications[Mois de bascule prevu],"&lt;="&amp;EOMONTH($A224,0),tblApplications[Inclus projection O/N],"O")</f>
        <v>0</v>
      </c>
      <c r="J224" s="24">
        <f ca="1">SUMIFS(tblApplications[RAM cible ROKS],tblApplications[Cluster ROKS cible (auto)],$B224,tblApplications[Mois de bascule prevu],"&lt;="&amp;EOMONTH($A224,0),tblApplications[Inclus projection O/N],"O")</f>
        <v>0</v>
      </c>
      <c r="K224" s="25">
        <f t="shared" ca="1" si="18"/>
        <v>0</v>
      </c>
      <c r="L224" s="25">
        <f t="shared" ca="1" si="19"/>
        <v>0</v>
      </c>
      <c r="M224" s="26" t="str">
        <f t="shared" si="20"/>
        <v/>
      </c>
      <c r="N224" s="26" t="str">
        <f t="shared" si="21"/>
        <v/>
      </c>
      <c r="O224" s="22" t="str">
        <f ca="1">IF(E224=0,IF(K224&gt;0,"Cluster sans capacite provisionnee","n/a"),IF(OR(M224&gt;=Clusters_ROKS!$AC$5,N224&gt;=Clusters_ROKS!$AC$5),"Seuil depasse","OK"))</f>
        <v>n/a</v>
      </c>
      <c r="P224" s="25">
        <f t="shared" ca="1" si="22"/>
        <v>0</v>
      </c>
      <c r="Q224" s="25">
        <f t="shared" ca="1" si="23"/>
        <v>0</v>
      </c>
      <c r="R224" s="24">
        <f ca="1">IF(AND(P224=0,Q224=0),0,IFERROR(MAX(ROUNDUP(P224/INDEX(tblClusters[vCPU / noeud (deduit)],MATCH($B224,tblClusters[Cluster],0)),0),ROUNDUP(Q224/INDEX(tblClusters[RAM / noeud - Go (deduit)],MATCH($B224,tblClusters[Cluster],0)),0)),"Flavor a definir"))</f>
        <v>0</v>
      </c>
    </row>
    <row r="225" spans="1:18" x14ac:dyDescent="0.2">
      <c r="A225" s="38">
        <v>46508</v>
      </c>
      <c r="B225" s="21" t="s">
        <v>192</v>
      </c>
      <c r="C225" s="28" t="str">
        <f>IFERROR(INDEX(tblClusters[Utilisation],MATCH($B225,tblClusters[Cluster],0)),"")</f>
        <v>PREZ-I GIE HORS-PROD</v>
      </c>
      <c r="D225" s="28" t="str">
        <f>IFERROR(INDEX(tblClusters[Type (deduit)],MATCH($B225,tblClusters[Cluster],0)),"")</f>
        <v>Dedie</v>
      </c>
      <c r="E225" s="24">
        <f>IFERROR(INDEX(tblClusters[CPU max (cores)],MATCH($B225,tblClusters[Cluster],0)),0)</f>
        <v>0</v>
      </c>
      <c r="F225" s="24">
        <f>IFERROR(INDEX(tblClusters[RAM max (Go)],MATCH($B225,tblClusters[Cluster],0)),0)</f>
        <v>0</v>
      </c>
      <c r="G225" s="24">
        <f>IFERROR(INDEX(tblClusters[Charge existante CPU hors migration],MATCH($B225,tblClusters[Cluster],0)),0)</f>
        <v>0</v>
      </c>
      <c r="H225" s="24">
        <f>IFERROR(INDEX(tblClusters[Charge existante RAM hors migration (Go)],MATCH($B225,tblClusters[Cluster],0)),0)</f>
        <v>0</v>
      </c>
      <c r="I225" s="24">
        <f ca="1">SUMIFS(tblApplications[CPU cible ROKS],tblApplications[Cluster ROKS cible (auto)],$B225,tblApplications[Mois de bascule prevu],"&lt;="&amp;EOMONTH($A225,0),tblApplications[Inclus projection O/N],"O")</f>
        <v>0</v>
      </c>
      <c r="J225" s="24">
        <f ca="1">SUMIFS(tblApplications[RAM cible ROKS],tblApplications[Cluster ROKS cible (auto)],$B225,tblApplications[Mois de bascule prevu],"&lt;="&amp;EOMONTH($A225,0),tblApplications[Inclus projection O/N],"O")</f>
        <v>0</v>
      </c>
      <c r="K225" s="25">
        <f t="shared" ca="1" si="18"/>
        <v>0</v>
      </c>
      <c r="L225" s="25">
        <f t="shared" ca="1" si="19"/>
        <v>0</v>
      </c>
      <c r="M225" s="26" t="str">
        <f t="shared" si="20"/>
        <v/>
      </c>
      <c r="N225" s="26" t="str">
        <f t="shared" si="21"/>
        <v/>
      </c>
      <c r="O225" s="22" t="str">
        <f ca="1">IF(E225=0,IF(K225&gt;0,"Cluster sans capacite provisionnee","n/a"),IF(OR(M225&gt;=Clusters_ROKS!$AC$5,N225&gt;=Clusters_ROKS!$AC$5),"Seuil depasse","OK"))</f>
        <v>n/a</v>
      </c>
      <c r="P225" s="25">
        <f t="shared" ca="1" si="22"/>
        <v>0</v>
      </c>
      <c r="Q225" s="25">
        <f t="shared" ca="1" si="23"/>
        <v>0</v>
      </c>
      <c r="R225" s="24">
        <f ca="1">IF(AND(P225=0,Q225=0),0,IFERROR(MAX(ROUNDUP(P225/INDEX(tblClusters[vCPU / noeud (deduit)],MATCH($B225,tblClusters[Cluster],0)),0),ROUNDUP(Q225/INDEX(tblClusters[RAM / noeud - Go (deduit)],MATCH($B225,tblClusters[Cluster],0)),0)),"Flavor a definir"))</f>
        <v>0</v>
      </c>
    </row>
    <row r="226" spans="1:18" x14ac:dyDescent="0.2">
      <c r="A226" s="38">
        <v>46539</v>
      </c>
      <c r="B226" s="21" t="s">
        <v>192</v>
      </c>
      <c r="C226" s="28" t="str">
        <f>IFERROR(INDEX(tblClusters[Utilisation],MATCH($B226,tblClusters[Cluster],0)),"")</f>
        <v>PREZ-I GIE HORS-PROD</v>
      </c>
      <c r="D226" s="28" t="str">
        <f>IFERROR(INDEX(tblClusters[Type (deduit)],MATCH($B226,tblClusters[Cluster],0)),"")</f>
        <v>Dedie</v>
      </c>
      <c r="E226" s="24">
        <f>IFERROR(INDEX(tblClusters[CPU max (cores)],MATCH($B226,tblClusters[Cluster],0)),0)</f>
        <v>0</v>
      </c>
      <c r="F226" s="24">
        <f>IFERROR(INDEX(tblClusters[RAM max (Go)],MATCH($B226,tblClusters[Cluster],0)),0)</f>
        <v>0</v>
      </c>
      <c r="G226" s="24">
        <f>IFERROR(INDEX(tblClusters[Charge existante CPU hors migration],MATCH($B226,tblClusters[Cluster],0)),0)</f>
        <v>0</v>
      </c>
      <c r="H226" s="24">
        <f>IFERROR(INDEX(tblClusters[Charge existante RAM hors migration (Go)],MATCH($B226,tblClusters[Cluster],0)),0)</f>
        <v>0</v>
      </c>
      <c r="I226" s="24">
        <f ca="1">SUMIFS(tblApplications[CPU cible ROKS],tblApplications[Cluster ROKS cible (auto)],$B226,tblApplications[Mois de bascule prevu],"&lt;="&amp;EOMONTH($A226,0),tblApplications[Inclus projection O/N],"O")</f>
        <v>0</v>
      </c>
      <c r="J226" s="24">
        <f ca="1">SUMIFS(tblApplications[RAM cible ROKS],tblApplications[Cluster ROKS cible (auto)],$B226,tblApplications[Mois de bascule prevu],"&lt;="&amp;EOMONTH($A226,0),tblApplications[Inclus projection O/N],"O")</f>
        <v>0</v>
      </c>
      <c r="K226" s="25">
        <f t="shared" ca="1" si="18"/>
        <v>0</v>
      </c>
      <c r="L226" s="25">
        <f t="shared" ca="1" si="19"/>
        <v>0</v>
      </c>
      <c r="M226" s="26" t="str">
        <f t="shared" si="20"/>
        <v/>
      </c>
      <c r="N226" s="26" t="str">
        <f t="shared" si="21"/>
        <v/>
      </c>
      <c r="O226" s="22" t="str">
        <f ca="1">IF(E226=0,IF(K226&gt;0,"Cluster sans capacite provisionnee","n/a"),IF(OR(M226&gt;=Clusters_ROKS!$AC$5,N226&gt;=Clusters_ROKS!$AC$5),"Seuil depasse","OK"))</f>
        <v>n/a</v>
      </c>
      <c r="P226" s="25">
        <f t="shared" ca="1" si="22"/>
        <v>0</v>
      </c>
      <c r="Q226" s="25">
        <f t="shared" ca="1" si="23"/>
        <v>0</v>
      </c>
      <c r="R226" s="24">
        <f ca="1">IF(AND(P226=0,Q226=0),0,IFERROR(MAX(ROUNDUP(P226/INDEX(tblClusters[vCPU / noeud (deduit)],MATCH($B226,tblClusters[Cluster],0)),0),ROUNDUP(Q226/INDEX(tblClusters[RAM / noeud - Go (deduit)],MATCH($B226,tblClusters[Cluster],0)),0)),"Flavor a definir"))</f>
        <v>0</v>
      </c>
    </row>
    <row r="227" spans="1:18" x14ac:dyDescent="0.2">
      <c r="A227" s="38">
        <v>46569</v>
      </c>
      <c r="B227" s="21" t="s">
        <v>192</v>
      </c>
      <c r="C227" s="28" t="str">
        <f>IFERROR(INDEX(tblClusters[Utilisation],MATCH($B227,tblClusters[Cluster],0)),"")</f>
        <v>PREZ-I GIE HORS-PROD</v>
      </c>
      <c r="D227" s="28" t="str">
        <f>IFERROR(INDEX(tblClusters[Type (deduit)],MATCH($B227,tblClusters[Cluster],0)),"")</f>
        <v>Dedie</v>
      </c>
      <c r="E227" s="24">
        <f>IFERROR(INDEX(tblClusters[CPU max (cores)],MATCH($B227,tblClusters[Cluster],0)),0)</f>
        <v>0</v>
      </c>
      <c r="F227" s="24">
        <f>IFERROR(INDEX(tblClusters[RAM max (Go)],MATCH($B227,tblClusters[Cluster],0)),0)</f>
        <v>0</v>
      </c>
      <c r="G227" s="24">
        <f>IFERROR(INDEX(tblClusters[Charge existante CPU hors migration],MATCH($B227,tblClusters[Cluster],0)),0)</f>
        <v>0</v>
      </c>
      <c r="H227" s="24">
        <f>IFERROR(INDEX(tblClusters[Charge existante RAM hors migration (Go)],MATCH($B227,tblClusters[Cluster],0)),0)</f>
        <v>0</v>
      </c>
      <c r="I227" s="24">
        <f ca="1">SUMIFS(tblApplications[CPU cible ROKS],tblApplications[Cluster ROKS cible (auto)],$B227,tblApplications[Mois de bascule prevu],"&lt;="&amp;EOMONTH($A227,0),tblApplications[Inclus projection O/N],"O")</f>
        <v>0</v>
      </c>
      <c r="J227" s="24">
        <f ca="1">SUMIFS(tblApplications[RAM cible ROKS],tblApplications[Cluster ROKS cible (auto)],$B227,tblApplications[Mois de bascule prevu],"&lt;="&amp;EOMONTH($A227,0),tblApplications[Inclus projection O/N],"O")</f>
        <v>0</v>
      </c>
      <c r="K227" s="25">
        <f t="shared" ca="1" si="18"/>
        <v>0</v>
      </c>
      <c r="L227" s="25">
        <f t="shared" ca="1" si="19"/>
        <v>0</v>
      </c>
      <c r="M227" s="26" t="str">
        <f t="shared" si="20"/>
        <v/>
      </c>
      <c r="N227" s="26" t="str">
        <f t="shared" si="21"/>
        <v/>
      </c>
      <c r="O227" s="22" t="str">
        <f ca="1">IF(E227=0,IF(K227&gt;0,"Cluster sans capacite provisionnee","n/a"),IF(OR(M227&gt;=Clusters_ROKS!$AC$5,N227&gt;=Clusters_ROKS!$AC$5),"Seuil depasse","OK"))</f>
        <v>n/a</v>
      </c>
      <c r="P227" s="25">
        <f t="shared" ca="1" si="22"/>
        <v>0</v>
      </c>
      <c r="Q227" s="25">
        <f t="shared" ca="1" si="23"/>
        <v>0</v>
      </c>
      <c r="R227" s="24">
        <f ca="1">IF(AND(P227=0,Q227=0),0,IFERROR(MAX(ROUNDUP(P227/INDEX(tblClusters[vCPU / noeud (deduit)],MATCH($B227,tblClusters[Cluster],0)),0),ROUNDUP(Q227/INDEX(tblClusters[RAM / noeud - Go (deduit)],MATCH($B227,tblClusters[Cluster],0)),0)),"Flavor a definir"))</f>
        <v>0</v>
      </c>
    </row>
    <row r="228" spans="1:18" x14ac:dyDescent="0.2">
      <c r="A228" s="38">
        <v>46600</v>
      </c>
      <c r="B228" s="21" t="s">
        <v>192</v>
      </c>
      <c r="C228" s="28" t="str">
        <f>IFERROR(INDEX(tblClusters[Utilisation],MATCH($B228,tblClusters[Cluster],0)),"")</f>
        <v>PREZ-I GIE HORS-PROD</v>
      </c>
      <c r="D228" s="28" t="str">
        <f>IFERROR(INDEX(tblClusters[Type (deduit)],MATCH($B228,tblClusters[Cluster],0)),"")</f>
        <v>Dedie</v>
      </c>
      <c r="E228" s="24">
        <f>IFERROR(INDEX(tblClusters[CPU max (cores)],MATCH($B228,tblClusters[Cluster],0)),0)</f>
        <v>0</v>
      </c>
      <c r="F228" s="24">
        <f>IFERROR(INDEX(tblClusters[RAM max (Go)],MATCH($B228,tblClusters[Cluster],0)),0)</f>
        <v>0</v>
      </c>
      <c r="G228" s="24">
        <f>IFERROR(INDEX(tblClusters[Charge existante CPU hors migration],MATCH($B228,tblClusters[Cluster],0)),0)</f>
        <v>0</v>
      </c>
      <c r="H228" s="24">
        <f>IFERROR(INDEX(tblClusters[Charge existante RAM hors migration (Go)],MATCH($B228,tblClusters[Cluster],0)),0)</f>
        <v>0</v>
      </c>
      <c r="I228" s="24">
        <f ca="1">SUMIFS(tblApplications[CPU cible ROKS],tblApplications[Cluster ROKS cible (auto)],$B228,tblApplications[Mois de bascule prevu],"&lt;="&amp;EOMONTH($A228,0),tblApplications[Inclus projection O/N],"O")</f>
        <v>0</v>
      </c>
      <c r="J228" s="24">
        <f ca="1">SUMIFS(tblApplications[RAM cible ROKS],tblApplications[Cluster ROKS cible (auto)],$B228,tblApplications[Mois de bascule prevu],"&lt;="&amp;EOMONTH($A228,0),tblApplications[Inclus projection O/N],"O")</f>
        <v>0</v>
      </c>
      <c r="K228" s="25">
        <f t="shared" ca="1" si="18"/>
        <v>0</v>
      </c>
      <c r="L228" s="25">
        <f t="shared" ca="1" si="19"/>
        <v>0</v>
      </c>
      <c r="M228" s="26" t="str">
        <f t="shared" si="20"/>
        <v/>
      </c>
      <c r="N228" s="26" t="str">
        <f t="shared" si="21"/>
        <v/>
      </c>
      <c r="O228" s="22" t="str">
        <f ca="1">IF(E228=0,IF(K228&gt;0,"Cluster sans capacite provisionnee","n/a"),IF(OR(M228&gt;=Clusters_ROKS!$AC$5,N228&gt;=Clusters_ROKS!$AC$5),"Seuil depasse","OK"))</f>
        <v>n/a</v>
      </c>
      <c r="P228" s="25">
        <f t="shared" ca="1" si="22"/>
        <v>0</v>
      </c>
      <c r="Q228" s="25">
        <f t="shared" ca="1" si="23"/>
        <v>0</v>
      </c>
      <c r="R228" s="24">
        <f ca="1">IF(AND(P228=0,Q228=0),0,IFERROR(MAX(ROUNDUP(P228/INDEX(tblClusters[vCPU / noeud (deduit)],MATCH($B228,tblClusters[Cluster],0)),0),ROUNDUP(Q228/INDEX(tblClusters[RAM / noeud - Go (deduit)],MATCH($B228,tblClusters[Cluster],0)),0)),"Flavor a definir"))</f>
        <v>0</v>
      </c>
    </row>
    <row r="229" spans="1:18" x14ac:dyDescent="0.2">
      <c r="A229" s="38">
        <v>46631</v>
      </c>
      <c r="B229" s="21" t="s">
        <v>192</v>
      </c>
      <c r="C229" s="28" t="str">
        <f>IFERROR(INDEX(tblClusters[Utilisation],MATCH($B229,tblClusters[Cluster],0)),"")</f>
        <v>PREZ-I GIE HORS-PROD</v>
      </c>
      <c r="D229" s="28" t="str">
        <f>IFERROR(INDEX(tblClusters[Type (deduit)],MATCH($B229,tblClusters[Cluster],0)),"")</f>
        <v>Dedie</v>
      </c>
      <c r="E229" s="24">
        <f>IFERROR(INDEX(tblClusters[CPU max (cores)],MATCH($B229,tblClusters[Cluster],0)),0)</f>
        <v>0</v>
      </c>
      <c r="F229" s="24">
        <f>IFERROR(INDEX(tblClusters[RAM max (Go)],MATCH($B229,tblClusters[Cluster],0)),0)</f>
        <v>0</v>
      </c>
      <c r="G229" s="24">
        <f>IFERROR(INDEX(tblClusters[Charge existante CPU hors migration],MATCH($B229,tblClusters[Cluster],0)),0)</f>
        <v>0</v>
      </c>
      <c r="H229" s="24">
        <f>IFERROR(INDEX(tblClusters[Charge existante RAM hors migration (Go)],MATCH($B229,tblClusters[Cluster],0)),0)</f>
        <v>0</v>
      </c>
      <c r="I229" s="24">
        <f ca="1">SUMIFS(tblApplications[CPU cible ROKS],tblApplications[Cluster ROKS cible (auto)],$B229,tblApplications[Mois de bascule prevu],"&lt;="&amp;EOMONTH($A229,0),tblApplications[Inclus projection O/N],"O")</f>
        <v>0</v>
      </c>
      <c r="J229" s="24">
        <f ca="1">SUMIFS(tblApplications[RAM cible ROKS],tblApplications[Cluster ROKS cible (auto)],$B229,tblApplications[Mois de bascule prevu],"&lt;="&amp;EOMONTH($A229,0),tblApplications[Inclus projection O/N],"O")</f>
        <v>0</v>
      </c>
      <c r="K229" s="25">
        <f t="shared" ca="1" si="18"/>
        <v>0</v>
      </c>
      <c r="L229" s="25">
        <f t="shared" ca="1" si="19"/>
        <v>0</v>
      </c>
      <c r="M229" s="26" t="str">
        <f t="shared" si="20"/>
        <v/>
      </c>
      <c r="N229" s="26" t="str">
        <f t="shared" si="21"/>
        <v/>
      </c>
      <c r="O229" s="22" t="str">
        <f ca="1">IF(E229=0,IF(K229&gt;0,"Cluster sans capacite provisionnee","n/a"),IF(OR(M229&gt;=Clusters_ROKS!$AC$5,N229&gt;=Clusters_ROKS!$AC$5),"Seuil depasse","OK"))</f>
        <v>n/a</v>
      </c>
      <c r="P229" s="25">
        <f t="shared" ca="1" si="22"/>
        <v>0</v>
      </c>
      <c r="Q229" s="25">
        <f t="shared" ca="1" si="23"/>
        <v>0</v>
      </c>
      <c r="R229" s="24">
        <f ca="1">IF(AND(P229=0,Q229=0),0,IFERROR(MAX(ROUNDUP(P229/INDEX(tblClusters[vCPU / noeud (deduit)],MATCH($B229,tblClusters[Cluster],0)),0),ROUNDUP(Q229/INDEX(tblClusters[RAM / noeud - Go (deduit)],MATCH($B229,tblClusters[Cluster],0)),0)),"Flavor a definir"))</f>
        <v>0</v>
      </c>
    </row>
    <row r="230" spans="1:18" x14ac:dyDescent="0.2">
      <c r="A230" s="38">
        <v>46661</v>
      </c>
      <c r="B230" s="21" t="s">
        <v>192</v>
      </c>
      <c r="C230" s="28" t="str">
        <f>IFERROR(INDEX(tblClusters[Utilisation],MATCH($B230,tblClusters[Cluster],0)),"")</f>
        <v>PREZ-I GIE HORS-PROD</v>
      </c>
      <c r="D230" s="28" t="str">
        <f>IFERROR(INDEX(tblClusters[Type (deduit)],MATCH($B230,tblClusters[Cluster],0)),"")</f>
        <v>Dedie</v>
      </c>
      <c r="E230" s="24">
        <f>IFERROR(INDEX(tblClusters[CPU max (cores)],MATCH($B230,tblClusters[Cluster],0)),0)</f>
        <v>0</v>
      </c>
      <c r="F230" s="24">
        <f>IFERROR(INDEX(tblClusters[RAM max (Go)],MATCH($B230,tblClusters[Cluster],0)),0)</f>
        <v>0</v>
      </c>
      <c r="G230" s="24">
        <f>IFERROR(INDEX(tblClusters[Charge existante CPU hors migration],MATCH($B230,tblClusters[Cluster],0)),0)</f>
        <v>0</v>
      </c>
      <c r="H230" s="24">
        <f>IFERROR(INDEX(tblClusters[Charge existante RAM hors migration (Go)],MATCH($B230,tblClusters[Cluster],0)),0)</f>
        <v>0</v>
      </c>
      <c r="I230" s="24">
        <f ca="1">SUMIFS(tblApplications[CPU cible ROKS],tblApplications[Cluster ROKS cible (auto)],$B230,tblApplications[Mois de bascule prevu],"&lt;="&amp;EOMONTH($A230,0),tblApplications[Inclus projection O/N],"O")</f>
        <v>0</v>
      </c>
      <c r="J230" s="24">
        <f ca="1">SUMIFS(tblApplications[RAM cible ROKS],tblApplications[Cluster ROKS cible (auto)],$B230,tblApplications[Mois de bascule prevu],"&lt;="&amp;EOMONTH($A230,0),tblApplications[Inclus projection O/N],"O")</f>
        <v>0</v>
      </c>
      <c r="K230" s="25">
        <f t="shared" ca="1" si="18"/>
        <v>0</v>
      </c>
      <c r="L230" s="25">
        <f t="shared" ca="1" si="19"/>
        <v>0</v>
      </c>
      <c r="M230" s="26" t="str">
        <f t="shared" si="20"/>
        <v/>
      </c>
      <c r="N230" s="26" t="str">
        <f t="shared" si="21"/>
        <v/>
      </c>
      <c r="O230" s="22" t="str">
        <f ca="1">IF(E230=0,IF(K230&gt;0,"Cluster sans capacite provisionnee","n/a"),IF(OR(M230&gt;=Clusters_ROKS!$AC$5,N230&gt;=Clusters_ROKS!$AC$5),"Seuil depasse","OK"))</f>
        <v>n/a</v>
      </c>
      <c r="P230" s="25">
        <f t="shared" ca="1" si="22"/>
        <v>0</v>
      </c>
      <c r="Q230" s="25">
        <f t="shared" ca="1" si="23"/>
        <v>0</v>
      </c>
      <c r="R230" s="24">
        <f ca="1">IF(AND(P230=0,Q230=0),0,IFERROR(MAX(ROUNDUP(P230/INDEX(tblClusters[vCPU / noeud (deduit)],MATCH($B230,tblClusters[Cluster],0)),0),ROUNDUP(Q230/INDEX(tblClusters[RAM / noeud - Go (deduit)],MATCH($B230,tblClusters[Cluster],0)),0)),"Flavor a definir"))</f>
        <v>0</v>
      </c>
    </row>
    <row r="231" spans="1:18" x14ac:dyDescent="0.2">
      <c r="A231" s="38">
        <v>46692</v>
      </c>
      <c r="B231" s="21" t="s">
        <v>192</v>
      </c>
      <c r="C231" s="28" t="str">
        <f>IFERROR(INDEX(tblClusters[Utilisation],MATCH($B231,tblClusters[Cluster],0)),"")</f>
        <v>PREZ-I GIE HORS-PROD</v>
      </c>
      <c r="D231" s="28" t="str">
        <f>IFERROR(INDEX(tblClusters[Type (deduit)],MATCH($B231,tblClusters[Cluster],0)),"")</f>
        <v>Dedie</v>
      </c>
      <c r="E231" s="24">
        <f>IFERROR(INDEX(tblClusters[CPU max (cores)],MATCH($B231,tblClusters[Cluster],0)),0)</f>
        <v>0</v>
      </c>
      <c r="F231" s="24">
        <f>IFERROR(INDEX(tblClusters[RAM max (Go)],MATCH($B231,tblClusters[Cluster],0)),0)</f>
        <v>0</v>
      </c>
      <c r="G231" s="24">
        <f>IFERROR(INDEX(tblClusters[Charge existante CPU hors migration],MATCH($B231,tblClusters[Cluster],0)),0)</f>
        <v>0</v>
      </c>
      <c r="H231" s="24">
        <f>IFERROR(INDEX(tblClusters[Charge existante RAM hors migration (Go)],MATCH($B231,tblClusters[Cluster],0)),0)</f>
        <v>0</v>
      </c>
      <c r="I231" s="24">
        <f ca="1">SUMIFS(tblApplications[CPU cible ROKS],tblApplications[Cluster ROKS cible (auto)],$B231,tblApplications[Mois de bascule prevu],"&lt;="&amp;EOMONTH($A231,0),tblApplications[Inclus projection O/N],"O")</f>
        <v>0</v>
      </c>
      <c r="J231" s="24">
        <f ca="1">SUMIFS(tblApplications[RAM cible ROKS],tblApplications[Cluster ROKS cible (auto)],$B231,tblApplications[Mois de bascule prevu],"&lt;="&amp;EOMONTH($A231,0),tblApplications[Inclus projection O/N],"O")</f>
        <v>0</v>
      </c>
      <c r="K231" s="25">
        <f t="shared" ca="1" si="18"/>
        <v>0</v>
      </c>
      <c r="L231" s="25">
        <f t="shared" ca="1" si="19"/>
        <v>0</v>
      </c>
      <c r="M231" s="26" t="str">
        <f t="shared" si="20"/>
        <v/>
      </c>
      <c r="N231" s="26" t="str">
        <f t="shared" si="21"/>
        <v/>
      </c>
      <c r="O231" s="22" t="str">
        <f ca="1">IF(E231=0,IF(K231&gt;0,"Cluster sans capacite provisionnee","n/a"),IF(OR(M231&gt;=Clusters_ROKS!$AC$5,N231&gt;=Clusters_ROKS!$AC$5),"Seuil depasse","OK"))</f>
        <v>n/a</v>
      </c>
      <c r="P231" s="25">
        <f t="shared" ca="1" si="22"/>
        <v>0</v>
      </c>
      <c r="Q231" s="25">
        <f t="shared" ca="1" si="23"/>
        <v>0</v>
      </c>
      <c r="R231" s="24">
        <f ca="1">IF(AND(P231=0,Q231=0),0,IFERROR(MAX(ROUNDUP(P231/INDEX(tblClusters[vCPU / noeud (deduit)],MATCH($B231,tblClusters[Cluster],0)),0),ROUNDUP(Q231/INDEX(tblClusters[RAM / noeud - Go (deduit)],MATCH($B231,tblClusters[Cluster],0)),0)),"Flavor a definir"))</f>
        <v>0</v>
      </c>
    </row>
    <row r="232" spans="1:18" x14ac:dyDescent="0.2">
      <c r="A232" s="38">
        <v>46722</v>
      </c>
      <c r="B232" s="21" t="s">
        <v>192</v>
      </c>
      <c r="C232" s="28" t="str">
        <f>IFERROR(INDEX(tblClusters[Utilisation],MATCH($B232,tblClusters[Cluster],0)),"")</f>
        <v>PREZ-I GIE HORS-PROD</v>
      </c>
      <c r="D232" s="28" t="str">
        <f>IFERROR(INDEX(tblClusters[Type (deduit)],MATCH($B232,tblClusters[Cluster],0)),"")</f>
        <v>Dedie</v>
      </c>
      <c r="E232" s="24">
        <f>IFERROR(INDEX(tblClusters[CPU max (cores)],MATCH($B232,tblClusters[Cluster],0)),0)</f>
        <v>0</v>
      </c>
      <c r="F232" s="24">
        <f>IFERROR(INDEX(tblClusters[RAM max (Go)],MATCH($B232,tblClusters[Cluster],0)),0)</f>
        <v>0</v>
      </c>
      <c r="G232" s="24">
        <f>IFERROR(INDEX(tblClusters[Charge existante CPU hors migration],MATCH($B232,tblClusters[Cluster],0)),0)</f>
        <v>0</v>
      </c>
      <c r="H232" s="24">
        <f>IFERROR(INDEX(tblClusters[Charge existante RAM hors migration (Go)],MATCH($B232,tblClusters[Cluster],0)),0)</f>
        <v>0</v>
      </c>
      <c r="I232" s="24">
        <f ca="1">SUMIFS(tblApplications[CPU cible ROKS],tblApplications[Cluster ROKS cible (auto)],$B232,tblApplications[Mois de bascule prevu],"&lt;="&amp;EOMONTH($A232,0),tblApplications[Inclus projection O/N],"O")</f>
        <v>0</v>
      </c>
      <c r="J232" s="24">
        <f ca="1">SUMIFS(tblApplications[RAM cible ROKS],tblApplications[Cluster ROKS cible (auto)],$B232,tblApplications[Mois de bascule prevu],"&lt;="&amp;EOMONTH($A232,0),tblApplications[Inclus projection O/N],"O")</f>
        <v>0</v>
      </c>
      <c r="K232" s="25">
        <f t="shared" ca="1" si="18"/>
        <v>0</v>
      </c>
      <c r="L232" s="25">
        <f t="shared" ca="1" si="19"/>
        <v>0</v>
      </c>
      <c r="M232" s="26" t="str">
        <f t="shared" si="20"/>
        <v/>
      </c>
      <c r="N232" s="26" t="str">
        <f t="shared" si="21"/>
        <v/>
      </c>
      <c r="O232" s="22" t="str">
        <f ca="1">IF(E232=0,IF(K232&gt;0,"Cluster sans capacite provisionnee","n/a"),IF(OR(M232&gt;=Clusters_ROKS!$AC$5,N232&gt;=Clusters_ROKS!$AC$5),"Seuil depasse","OK"))</f>
        <v>n/a</v>
      </c>
      <c r="P232" s="25">
        <f t="shared" ca="1" si="22"/>
        <v>0</v>
      </c>
      <c r="Q232" s="25">
        <f t="shared" ca="1" si="23"/>
        <v>0</v>
      </c>
      <c r="R232" s="24">
        <f ca="1">IF(AND(P232=0,Q232=0),0,IFERROR(MAX(ROUNDUP(P232/INDEX(tblClusters[vCPU / noeud (deduit)],MATCH($B232,tblClusters[Cluster],0)),0),ROUNDUP(Q232/INDEX(tblClusters[RAM / noeud - Go (deduit)],MATCH($B232,tblClusters[Cluster],0)),0)),"Flavor a definir"))</f>
        <v>0</v>
      </c>
    </row>
    <row r="233" spans="1:18" x14ac:dyDescent="0.2">
      <c r="A233" s="38">
        <v>46388</v>
      </c>
      <c r="B233" s="21" t="s">
        <v>194</v>
      </c>
      <c r="C233" s="28" t="str">
        <f>IFERROR(INDEX(tblClusters[Utilisation],MATCH($B233,tblClusters[Cluster],0)),"")</f>
        <v>Mutualise</v>
      </c>
      <c r="D233" s="28" t="str">
        <f>IFERROR(INDEX(tblClusters[Type (deduit)],MATCH($B233,tblClusters[Cluster],0)),"")</f>
        <v>Mutualise</v>
      </c>
      <c r="E233" s="24">
        <f>IFERROR(INDEX(tblClusters[CPU max (cores)],MATCH($B233,tblClusters[Cluster],0)),0)</f>
        <v>0</v>
      </c>
      <c r="F233" s="24">
        <f>IFERROR(INDEX(tblClusters[RAM max (Go)],MATCH($B233,tblClusters[Cluster],0)),0)</f>
        <v>0</v>
      </c>
      <c r="G233" s="24">
        <f>IFERROR(INDEX(tblClusters[Charge existante CPU hors migration],MATCH($B233,tblClusters[Cluster],0)),0)</f>
        <v>0</v>
      </c>
      <c r="H233" s="24">
        <f>IFERROR(INDEX(tblClusters[Charge existante RAM hors migration (Go)],MATCH($B233,tblClusters[Cluster],0)),0)</f>
        <v>0</v>
      </c>
      <c r="I233" s="24">
        <f ca="1">SUMIFS(tblApplications[CPU cible ROKS],tblApplications[Cluster ROKS cible (auto)],$B233,tblApplications[Mois de bascule prevu],"&lt;="&amp;EOMONTH($A233,0),tblApplications[Inclus projection O/N],"O")</f>
        <v>0</v>
      </c>
      <c r="J233" s="24">
        <f ca="1">SUMIFS(tblApplications[RAM cible ROKS],tblApplications[Cluster ROKS cible (auto)],$B233,tblApplications[Mois de bascule prevu],"&lt;="&amp;EOMONTH($A233,0),tblApplications[Inclus projection O/N],"O")</f>
        <v>0</v>
      </c>
      <c r="K233" s="25">
        <f t="shared" ca="1" si="18"/>
        <v>0</v>
      </c>
      <c r="L233" s="25">
        <f t="shared" ca="1" si="19"/>
        <v>0</v>
      </c>
      <c r="M233" s="26" t="str">
        <f t="shared" si="20"/>
        <v/>
      </c>
      <c r="N233" s="26" t="str">
        <f t="shared" si="21"/>
        <v/>
      </c>
      <c r="O233" s="22" t="str">
        <f ca="1">IF(E233=0,IF(K233&gt;0,"Cluster sans capacite provisionnee","n/a"),IF(OR(M233&gt;=Clusters_ROKS!$AC$5,N233&gt;=Clusters_ROKS!$AC$5),"Seuil depasse","OK"))</f>
        <v>n/a</v>
      </c>
      <c r="P233" s="25">
        <f t="shared" ca="1" si="22"/>
        <v>0</v>
      </c>
      <c r="Q233" s="25">
        <f t="shared" ca="1" si="23"/>
        <v>0</v>
      </c>
      <c r="R233" s="24">
        <f ca="1">IF(AND(P233=0,Q233=0),0,IFERROR(MAX(ROUNDUP(P233/INDEX(tblClusters[vCPU / noeud (deduit)],MATCH($B233,tblClusters[Cluster],0)),0),ROUNDUP(Q233/INDEX(tblClusters[RAM / noeud - Go (deduit)],MATCH($B233,tblClusters[Cluster],0)),0)),"Flavor a definir"))</f>
        <v>0</v>
      </c>
    </row>
    <row r="234" spans="1:18" x14ac:dyDescent="0.2">
      <c r="A234" s="38">
        <v>46419</v>
      </c>
      <c r="B234" s="21" t="s">
        <v>194</v>
      </c>
      <c r="C234" s="28" t="str">
        <f>IFERROR(INDEX(tblClusters[Utilisation],MATCH($B234,tblClusters[Cluster],0)),"")</f>
        <v>Mutualise</v>
      </c>
      <c r="D234" s="28" t="str">
        <f>IFERROR(INDEX(tblClusters[Type (deduit)],MATCH($B234,tblClusters[Cluster],0)),"")</f>
        <v>Mutualise</v>
      </c>
      <c r="E234" s="24">
        <f>IFERROR(INDEX(tblClusters[CPU max (cores)],MATCH($B234,tblClusters[Cluster],0)),0)</f>
        <v>0</v>
      </c>
      <c r="F234" s="24">
        <f>IFERROR(INDEX(tblClusters[RAM max (Go)],MATCH($B234,tblClusters[Cluster],0)),0)</f>
        <v>0</v>
      </c>
      <c r="G234" s="24">
        <f>IFERROR(INDEX(tblClusters[Charge existante CPU hors migration],MATCH($B234,tblClusters[Cluster],0)),0)</f>
        <v>0</v>
      </c>
      <c r="H234" s="24">
        <f>IFERROR(INDEX(tblClusters[Charge existante RAM hors migration (Go)],MATCH($B234,tblClusters[Cluster],0)),0)</f>
        <v>0</v>
      </c>
      <c r="I234" s="24">
        <f ca="1">SUMIFS(tblApplications[CPU cible ROKS],tblApplications[Cluster ROKS cible (auto)],$B234,tblApplications[Mois de bascule prevu],"&lt;="&amp;EOMONTH($A234,0),tblApplications[Inclus projection O/N],"O")</f>
        <v>0</v>
      </c>
      <c r="J234" s="24">
        <f ca="1">SUMIFS(tblApplications[RAM cible ROKS],tblApplications[Cluster ROKS cible (auto)],$B234,tblApplications[Mois de bascule prevu],"&lt;="&amp;EOMONTH($A234,0),tblApplications[Inclus projection O/N],"O")</f>
        <v>0</v>
      </c>
      <c r="K234" s="25">
        <f t="shared" ca="1" si="18"/>
        <v>0</v>
      </c>
      <c r="L234" s="25">
        <f t="shared" ca="1" si="19"/>
        <v>0</v>
      </c>
      <c r="M234" s="26" t="str">
        <f t="shared" si="20"/>
        <v/>
      </c>
      <c r="N234" s="26" t="str">
        <f t="shared" si="21"/>
        <v/>
      </c>
      <c r="O234" s="22" t="str">
        <f ca="1">IF(E234=0,IF(K234&gt;0,"Cluster sans capacite provisionnee","n/a"),IF(OR(M234&gt;=Clusters_ROKS!$AC$5,N234&gt;=Clusters_ROKS!$AC$5),"Seuil depasse","OK"))</f>
        <v>n/a</v>
      </c>
      <c r="P234" s="25">
        <f t="shared" ca="1" si="22"/>
        <v>0</v>
      </c>
      <c r="Q234" s="25">
        <f t="shared" ca="1" si="23"/>
        <v>0</v>
      </c>
      <c r="R234" s="24">
        <f ca="1">IF(AND(P234=0,Q234=0),0,IFERROR(MAX(ROUNDUP(P234/INDEX(tblClusters[vCPU / noeud (deduit)],MATCH($B234,tblClusters[Cluster],0)),0),ROUNDUP(Q234/INDEX(tblClusters[RAM / noeud - Go (deduit)],MATCH($B234,tblClusters[Cluster],0)),0)),"Flavor a definir"))</f>
        <v>0</v>
      </c>
    </row>
    <row r="235" spans="1:18" x14ac:dyDescent="0.2">
      <c r="A235" s="38">
        <v>46447</v>
      </c>
      <c r="B235" s="21" t="s">
        <v>194</v>
      </c>
      <c r="C235" s="28" t="str">
        <f>IFERROR(INDEX(tblClusters[Utilisation],MATCH($B235,tblClusters[Cluster],0)),"")</f>
        <v>Mutualise</v>
      </c>
      <c r="D235" s="28" t="str">
        <f>IFERROR(INDEX(tblClusters[Type (deduit)],MATCH($B235,tblClusters[Cluster],0)),"")</f>
        <v>Mutualise</v>
      </c>
      <c r="E235" s="24">
        <f>IFERROR(INDEX(tblClusters[CPU max (cores)],MATCH($B235,tblClusters[Cluster],0)),0)</f>
        <v>0</v>
      </c>
      <c r="F235" s="24">
        <f>IFERROR(INDEX(tblClusters[RAM max (Go)],MATCH($B235,tblClusters[Cluster],0)),0)</f>
        <v>0</v>
      </c>
      <c r="G235" s="24">
        <f>IFERROR(INDEX(tblClusters[Charge existante CPU hors migration],MATCH($B235,tblClusters[Cluster],0)),0)</f>
        <v>0</v>
      </c>
      <c r="H235" s="24">
        <f>IFERROR(INDEX(tblClusters[Charge existante RAM hors migration (Go)],MATCH($B235,tblClusters[Cluster],0)),0)</f>
        <v>0</v>
      </c>
      <c r="I235" s="24">
        <f ca="1">SUMIFS(tblApplications[CPU cible ROKS],tblApplications[Cluster ROKS cible (auto)],$B235,tblApplications[Mois de bascule prevu],"&lt;="&amp;EOMONTH($A235,0),tblApplications[Inclus projection O/N],"O")</f>
        <v>0</v>
      </c>
      <c r="J235" s="24">
        <f ca="1">SUMIFS(tblApplications[RAM cible ROKS],tblApplications[Cluster ROKS cible (auto)],$B235,tblApplications[Mois de bascule prevu],"&lt;="&amp;EOMONTH($A235,0),tblApplications[Inclus projection O/N],"O")</f>
        <v>0</v>
      </c>
      <c r="K235" s="25">
        <f t="shared" ca="1" si="18"/>
        <v>0</v>
      </c>
      <c r="L235" s="25">
        <f t="shared" ca="1" si="19"/>
        <v>0</v>
      </c>
      <c r="M235" s="26" t="str">
        <f t="shared" si="20"/>
        <v/>
      </c>
      <c r="N235" s="26" t="str">
        <f t="shared" si="21"/>
        <v/>
      </c>
      <c r="O235" s="22" t="str">
        <f ca="1">IF(E235=0,IF(K235&gt;0,"Cluster sans capacite provisionnee","n/a"),IF(OR(M235&gt;=Clusters_ROKS!$AC$5,N235&gt;=Clusters_ROKS!$AC$5),"Seuil depasse","OK"))</f>
        <v>n/a</v>
      </c>
      <c r="P235" s="25">
        <f t="shared" ca="1" si="22"/>
        <v>0</v>
      </c>
      <c r="Q235" s="25">
        <f t="shared" ca="1" si="23"/>
        <v>0</v>
      </c>
      <c r="R235" s="24">
        <f ca="1">IF(AND(P235=0,Q235=0),0,IFERROR(MAX(ROUNDUP(P235/INDEX(tblClusters[vCPU / noeud (deduit)],MATCH($B235,tblClusters[Cluster],0)),0),ROUNDUP(Q235/INDEX(tblClusters[RAM / noeud - Go (deduit)],MATCH($B235,tblClusters[Cluster],0)),0)),"Flavor a definir"))</f>
        <v>0</v>
      </c>
    </row>
    <row r="236" spans="1:18" x14ac:dyDescent="0.2">
      <c r="A236" s="38">
        <v>46478</v>
      </c>
      <c r="B236" s="21" t="s">
        <v>194</v>
      </c>
      <c r="C236" s="28" t="str">
        <f>IFERROR(INDEX(tblClusters[Utilisation],MATCH($B236,tblClusters[Cluster],0)),"")</f>
        <v>Mutualise</v>
      </c>
      <c r="D236" s="28" t="str">
        <f>IFERROR(INDEX(tblClusters[Type (deduit)],MATCH($B236,tblClusters[Cluster],0)),"")</f>
        <v>Mutualise</v>
      </c>
      <c r="E236" s="24">
        <f>IFERROR(INDEX(tblClusters[CPU max (cores)],MATCH($B236,tblClusters[Cluster],0)),0)</f>
        <v>0</v>
      </c>
      <c r="F236" s="24">
        <f>IFERROR(INDEX(tblClusters[RAM max (Go)],MATCH($B236,tblClusters[Cluster],0)),0)</f>
        <v>0</v>
      </c>
      <c r="G236" s="24">
        <f>IFERROR(INDEX(tblClusters[Charge existante CPU hors migration],MATCH($B236,tblClusters[Cluster],0)),0)</f>
        <v>0</v>
      </c>
      <c r="H236" s="24">
        <f>IFERROR(INDEX(tblClusters[Charge existante RAM hors migration (Go)],MATCH($B236,tblClusters[Cluster],0)),0)</f>
        <v>0</v>
      </c>
      <c r="I236" s="24">
        <f ca="1">SUMIFS(tblApplications[CPU cible ROKS],tblApplications[Cluster ROKS cible (auto)],$B236,tblApplications[Mois de bascule prevu],"&lt;="&amp;EOMONTH($A236,0),tblApplications[Inclus projection O/N],"O")</f>
        <v>0</v>
      </c>
      <c r="J236" s="24">
        <f ca="1">SUMIFS(tblApplications[RAM cible ROKS],tblApplications[Cluster ROKS cible (auto)],$B236,tblApplications[Mois de bascule prevu],"&lt;="&amp;EOMONTH($A236,0),tblApplications[Inclus projection O/N],"O")</f>
        <v>0</v>
      </c>
      <c r="K236" s="25">
        <f t="shared" ca="1" si="18"/>
        <v>0</v>
      </c>
      <c r="L236" s="25">
        <f t="shared" ca="1" si="19"/>
        <v>0</v>
      </c>
      <c r="M236" s="26" t="str">
        <f t="shared" si="20"/>
        <v/>
      </c>
      <c r="N236" s="26" t="str">
        <f t="shared" si="21"/>
        <v/>
      </c>
      <c r="O236" s="22" t="str">
        <f ca="1">IF(E236=0,IF(K236&gt;0,"Cluster sans capacite provisionnee","n/a"),IF(OR(M236&gt;=Clusters_ROKS!$AC$5,N236&gt;=Clusters_ROKS!$AC$5),"Seuil depasse","OK"))</f>
        <v>n/a</v>
      </c>
      <c r="P236" s="25">
        <f t="shared" ca="1" si="22"/>
        <v>0</v>
      </c>
      <c r="Q236" s="25">
        <f t="shared" ca="1" si="23"/>
        <v>0</v>
      </c>
      <c r="R236" s="24">
        <f ca="1">IF(AND(P236=0,Q236=0),0,IFERROR(MAX(ROUNDUP(P236/INDEX(tblClusters[vCPU / noeud (deduit)],MATCH($B236,tblClusters[Cluster],0)),0),ROUNDUP(Q236/INDEX(tblClusters[RAM / noeud - Go (deduit)],MATCH($B236,tblClusters[Cluster],0)),0)),"Flavor a definir"))</f>
        <v>0</v>
      </c>
    </row>
    <row r="237" spans="1:18" x14ac:dyDescent="0.2">
      <c r="A237" s="38">
        <v>46508</v>
      </c>
      <c r="B237" s="21" t="s">
        <v>194</v>
      </c>
      <c r="C237" s="28" t="str">
        <f>IFERROR(INDEX(tblClusters[Utilisation],MATCH($B237,tblClusters[Cluster],0)),"")</f>
        <v>Mutualise</v>
      </c>
      <c r="D237" s="28" t="str">
        <f>IFERROR(INDEX(tblClusters[Type (deduit)],MATCH($B237,tblClusters[Cluster],0)),"")</f>
        <v>Mutualise</v>
      </c>
      <c r="E237" s="24">
        <f>IFERROR(INDEX(tblClusters[CPU max (cores)],MATCH($B237,tblClusters[Cluster],0)),0)</f>
        <v>0</v>
      </c>
      <c r="F237" s="24">
        <f>IFERROR(INDEX(tblClusters[RAM max (Go)],MATCH($B237,tblClusters[Cluster],0)),0)</f>
        <v>0</v>
      </c>
      <c r="G237" s="24">
        <f>IFERROR(INDEX(tblClusters[Charge existante CPU hors migration],MATCH($B237,tblClusters[Cluster],0)),0)</f>
        <v>0</v>
      </c>
      <c r="H237" s="24">
        <f>IFERROR(INDEX(tblClusters[Charge existante RAM hors migration (Go)],MATCH($B237,tblClusters[Cluster],0)),0)</f>
        <v>0</v>
      </c>
      <c r="I237" s="24">
        <f ca="1">SUMIFS(tblApplications[CPU cible ROKS],tblApplications[Cluster ROKS cible (auto)],$B237,tblApplications[Mois de bascule prevu],"&lt;="&amp;EOMONTH($A237,0),tblApplications[Inclus projection O/N],"O")</f>
        <v>0</v>
      </c>
      <c r="J237" s="24">
        <f ca="1">SUMIFS(tblApplications[RAM cible ROKS],tblApplications[Cluster ROKS cible (auto)],$B237,tblApplications[Mois de bascule prevu],"&lt;="&amp;EOMONTH($A237,0),tblApplications[Inclus projection O/N],"O")</f>
        <v>0</v>
      </c>
      <c r="K237" s="25">
        <f t="shared" ca="1" si="18"/>
        <v>0</v>
      </c>
      <c r="L237" s="25">
        <f t="shared" ca="1" si="19"/>
        <v>0</v>
      </c>
      <c r="M237" s="26" t="str">
        <f t="shared" si="20"/>
        <v/>
      </c>
      <c r="N237" s="26" t="str">
        <f t="shared" si="21"/>
        <v/>
      </c>
      <c r="O237" s="22" t="str">
        <f ca="1">IF(E237=0,IF(K237&gt;0,"Cluster sans capacite provisionnee","n/a"),IF(OR(M237&gt;=Clusters_ROKS!$AC$5,N237&gt;=Clusters_ROKS!$AC$5),"Seuil depasse","OK"))</f>
        <v>n/a</v>
      </c>
      <c r="P237" s="25">
        <f t="shared" ca="1" si="22"/>
        <v>0</v>
      </c>
      <c r="Q237" s="25">
        <f t="shared" ca="1" si="23"/>
        <v>0</v>
      </c>
      <c r="R237" s="24">
        <f ca="1">IF(AND(P237=0,Q237=0),0,IFERROR(MAX(ROUNDUP(P237/INDEX(tblClusters[vCPU / noeud (deduit)],MATCH($B237,tblClusters[Cluster],0)),0),ROUNDUP(Q237/INDEX(tblClusters[RAM / noeud - Go (deduit)],MATCH($B237,tblClusters[Cluster],0)),0)),"Flavor a definir"))</f>
        <v>0</v>
      </c>
    </row>
    <row r="238" spans="1:18" x14ac:dyDescent="0.2">
      <c r="A238" s="38">
        <v>46539</v>
      </c>
      <c r="B238" s="21" t="s">
        <v>194</v>
      </c>
      <c r="C238" s="28" t="str">
        <f>IFERROR(INDEX(tblClusters[Utilisation],MATCH($B238,tblClusters[Cluster],0)),"")</f>
        <v>Mutualise</v>
      </c>
      <c r="D238" s="28" t="str">
        <f>IFERROR(INDEX(tblClusters[Type (deduit)],MATCH($B238,tblClusters[Cluster],0)),"")</f>
        <v>Mutualise</v>
      </c>
      <c r="E238" s="24">
        <f>IFERROR(INDEX(tblClusters[CPU max (cores)],MATCH($B238,tblClusters[Cluster],0)),0)</f>
        <v>0</v>
      </c>
      <c r="F238" s="24">
        <f>IFERROR(INDEX(tblClusters[RAM max (Go)],MATCH($B238,tblClusters[Cluster],0)),0)</f>
        <v>0</v>
      </c>
      <c r="G238" s="24">
        <f>IFERROR(INDEX(tblClusters[Charge existante CPU hors migration],MATCH($B238,tblClusters[Cluster],0)),0)</f>
        <v>0</v>
      </c>
      <c r="H238" s="24">
        <f>IFERROR(INDEX(tblClusters[Charge existante RAM hors migration (Go)],MATCH($B238,tblClusters[Cluster],0)),0)</f>
        <v>0</v>
      </c>
      <c r="I238" s="24">
        <f ca="1">SUMIFS(tblApplications[CPU cible ROKS],tblApplications[Cluster ROKS cible (auto)],$B238,tblApplications[Mois de bascule prevu],"&lt;="&amp;EOMONTH($A238,0),tblApplications[Inclus projection O/N],"O")</f>
        <v>0</v>
      </c>
      <c r="J238" s="24">
        <f ca="1">SUMIFS(tblApplications[RAM cible ROKS],tblApplications[Cluster ROKS cible (auto)],$B238,tblApplications[Mois de bascule prevu],"&lt;="&amp;EOMONTH($A238,0),tblApplications[Inclus projection O/N],"O")</f>
        <v>0</v>
      </c>
      <c r="K238" s="25">
        <f t="shared" ca="1" si="18"/>
        <v>0</v>
      </c>
      <c r="L238" s="25">
        <f t="shared" ca="1" si="19"/>
        <v>0</v>
      </c>
      <c r="M238" s="26" t="str">
        <f t="shared" si="20"/>
        <v/>
      </c>
      <c r="N238" s="26" t="str">
        <f t="shared" si="21"/>
        <v/>
      </c>
      <c r="O238" s="22" t="str">
        <f ca="1">IF(E238=0,IF(K238&gt;0,"Cluster sans capacite provisionnee","n/a"),IF(OR(M238&gt;=Clusters_ROKS!$AC$5,N238&gt;=Clusters_ROKS!$AC$5),"Seuil depasse","OK"))</f>
        <v>n/a</v>
      </c>
      <c r="P238" s="25">
        <f t="shared" ca="1" si="22"/>
        <v>0</v>
      </c>
      <c r="Q238" s="25">
        <f t="shared" ca="1" si="23"/>
        <v>0</v>
      </c>
      <c r="R238" s="24">
        <f ca="1">IF(AND(P238=0,Q238=0),0,IFERROR(MAX(ROUNDUP(P238/INDEX(tblClusters[vCPU / noeud (deduit)],MATCH($B238,tblClusters[Cluster],0)),0),ROUNDUP(Q238/INDEX(tblClusters[RAM / noeud - Go (deduit)],MATCH($B238,tblClusters[Cluster],0)),0)),"Flavor a definir"))</f>
        <v>0</v>
      </c>
    </row>
    <row r="239" spans="1:18" x14ac:dyDescent="0.2">
      <c r="A239" s="38">
        <v>46569</v>
      </c>
      <c r="B239" s="21" t="s">
        <v>194</v>
      </c>
      <c r="C239" s="28" t="str">
        <f>IFERROR(INDEX(tblClusters[Utilisation],MATCH($B239,tblClusters[Cluster],0)),"")</f>
        <v>Mutualise</v>
      </c>
      <c r="D239" s="28" t="str">
        <f>IFERROR(INDEX(tblClusters[Type (deduit)],MATCH($B239,tblClusters[Cluster],0)),"")</f>
        <v>Mutualise</v>
      </c>
      <c r="E239" s="24">
        <f>IFERROR(INDEX(tblClusters[CPU max (cores)],MATCH($B239,tblClusters[Cluster],0)),0)</f>
        <v>0</v>
      </c>
      <c r="F239" s="24">
        <f>IFERROR(INDEX(tblClusters[RAM max (Go)],MATCH($B239,tblClusters[Cluster],0)),0)</f>
        <v>0</v>
      </c>
      <c r="G239" s="24">
        <f>IFERROR(INDEX(tblClusters[Charge existante CPU hors migration],MATCH($B239,tblClusters[Cluster],0)),0)</f>
        <v>0</v>
      </c>
      <c r="H239" s="24">
        <f>IFERROR(INDEX(tblClusters[Charge existante RAM hors migration (Go)],MATCH($B239,tblClusters[Cluster],0)),0)</f>
        <v>0</v>
      </c>
      <c r="I239" s="24">
        <f ca="1">SUMIFS(tblApplications[CPU cible ROKS],tblApplications[Cluster ROKS cible (auto)],$B239,tblApplications[Mois de bascule prevu],"&lt;="&amp;EOMONTH($A239,0),tblApplications[Inclus projection O/N],"O")</f>
        <v>0</v>
      </c>
      <c r="J239" s="24">
        <f ca="1">SUMIFS(tblApplications[RAM cible ROKS],tblApplications[Cluster ROKS cible (auto)],$B239,tblApplications[Mois de bascule prevu],"&lt;="&amp;EOMONTH($A239,0),tblApplications[Inclus projection O/N],"O")</f>
        <v>0</v>
      </c>
      <c r="K239" s="25">
        <f t="shared" ca="1" si="18"/>
        <v>0</v>
      </c>
      <c r="L239" s="25">
        <f t="shared" ca="1" si="19"/>
        <v>0</v>
      </c>
      <c r="M239" s="26" t="str">
        <f t="shared" si="20"/>
        <v/>
      </c>
      <c r="N239" s="26" t="str">
        <f t="shared" si="21"/>
        <v/>
      </c>
      <c r="O239" s="22" t="str">
        <f ca="1">IF(E239=0,IF(K239&gt;0,"Cluster sans capacite provisionnee","n/a"),IF(OR(M239&gt;=Clusters_ROKS!$AC$5,N239&gt;=Clusters_ROKS!$AC$5),"Seuil depasse","OK"))</f>
        <v>n/a</v>
      </c>
      <c r="P239" s="25">
        <f t="shared" ca="1" si="22"/>
        <v>0</v>
      </c>
      <c r="Q239" s="25">
        <f t="shared" ca="1" si="23"/>
        <v>0</v>
      </c>
      <c r="R239" s="24">
        <f ca="1">IF(AND(P239=0,Q239=0),0,IFERROR(MAX(ROUNDUP(P239/INDEX(tblClusters[vCPU / noeud (deduit)],MATCH($B239,tblClusters[Cluster],0)),0),ROUNDUP(Q239/INDEX(tblClusters[RAM / noeud - Go (deduit)],MATCH($B239,tblClusters[Cluster],0)),0)),"Flavor a definir"))</f>
        <v>0</v>
      </c>
    </row>
    <row r="240" spans="1:18" x14ac:dyDescent="0.2">
      <c r="A240" s="38">
        <v>46600</v>
      </c>
      <c r="B240" s="21" t="s">
        <v>194</v>
      </c>
      <c r="C240" s="28" t="str">
        <f>IFERROR(INDEX(tblClusters[Utilisation],MATCH($B240,tblClusters[Cluster],0)),"")</f>
        <v>Mutualise</v>
      </c>
      <c r="D240" s="28" t="str">
        <f>IFERROR(INDEX(tblClusters[Type (deduit)],MATCH($B240,tblClusters[Cluster],0)),"")</f>
        <v>Mutualise</v>
      </c>
      <c r="E240" s="24">
        <f>IFERROR(INDEX(tblClusters[CPU max (cores)],MATCH($B240,tblClusters[Cluster],0)),0)</f>
        <v>0</v>
      </c>
      <c r="F240" s="24">
        <f>IFERROR(INDEX(tblClusters[RAM max (Go)],MATCH($B240,tblClusters[Cluster],0)),0)</f>
        <v>0</v>
      </c>
      <c r="G240" s="24">
        <f>IFERROR(INDEX(tblClusters[Charge existante CPU hors migration],MATCH($B240,tblClusters[Cluster],0)),0)</f>
        <v>0</v>
      </c>
      <c r="H240" s="24">
        <f>IFERROR(INDEX(tblClusters[Charge existante RAM hors migration (Go)],MATCH($B240,tblClusters[Cluster],0)),0)</f>
        <v>0</v>
      </c>
      <c r="I240" s="24">
        <f ca="1">SUMIFS(tblApplications[CPU cible ROKS],tblApplications[Cluster ROKS cible (auto)],$B240,tblApplications[Mois de bascule prevu],"&lt;="&amp;EOMONTH($A240,0),tblApplications[Inclus projection O/N],"O")</f>
        <v>0</v>
      </c>
      <c r="J240" s="24">
        <f ca="1">SUMIFS(tblApplications[RAM cible ROKS],tblApplications[Cluster ROKS cible (auto)],$B240,tblApplications[Mois de bascule prevu],"&lt;="&amp;EOMONTH($A240,0),tblApplications[Inclus projection O/N],"O")</f>
        <v>0</v>
      </c>
      <c r="K240" s="25">
        <f t="shared" ca="1" si="18"/>
        <v>0</v>
      </c>
      <c r="L240" s="25">
        <f t="shared" ca="1" si="19"/>
        <v>0</v>
      </c>
      <c r="M240" s="26" t="str">
        <f t="shared" si="20"/>
        <v/>
      </c>
      <c r="N240" s="26" t="str">
        <f t="shared" si="21"/>
        <v/>
      </c>
      <c r="O240" s="22" t="str">
        <f ca="1">IF(E240=0,IF(K240&gt;0,"Cluster sans capacite provisionnee","n/a"),IF(OR(M240&gt;=Clusters_ROKS!$AC$5,N240&gt;=Clusters_ROKS!$AC$5),"Seuil depasse","OK"))</f>
        <v>n/a</v>
      </c>
      <c r="P240" s="25">
        <f t="shared" ca="1" si="22"/>
        <v>0</v>
      </c>
      <c r="Q240" s="25">
        <f t="shared" ca="1" si="23"/>
        <v>0</v>
      </c>
      <c r="R240" s="24">
        <f ca="1">IF(AND(P240=0,Q240=0),0,IFERROR(MAX(ROUNDUP(P240/INDEX(tblClusters[vCPU / noeud (deduit)],MATCH($B240,tblClusters[Cluster],0)),0),ROUNDUP(Q240/INDEX(tblClusters[RAM / noeud - Go (deduit)],MATCH($B240,tblClusters[Cluster],0)),0)),"Flavor a definir"))</f>
        <v>0</v>
      </c>
    </row>
    <row r="241" spans="1:18" x14ac:dyDescent="0.2">
      <c r="A241" s="38">
        <v>46631</v>
      </c>
      <c r="B241" s="21" t="s">
        <v>194</v>
      </c>
      <c r="C241" s="28" t="str">
        <f>IFERROR(INDEX(tblClusters[Utilisation],MATCH($B241,tblClusters[Cluster],0)),"")</f>
        <v>Mutualise</v>
      </c>
      <c r="D241" s="28" t="str">
        <f>IFERROR(INDEX(tblClusters[Type (deduit)],MATCH($B241,tblClusters[Cluster],0)),"")</f>
        <v>Mutualise</v>
      </c>
      <c r="E241" s="24">
        <f>IFERROR(INDEX(tblClusters[CPU max (cores)],MATCH($B241,tblClusters[Cluster],0)),0)</f>
        <v>0</v>
      </c>
      <c r="F241" s="24">
        <f>IFERROR(INDEX(tblClusters[RAM max (Go)],MATCH($B241,tblClusters[Cluster],0)),0)</f>
        <v>0</v>
      </c>
      <c r="G241" s="24">
        <f>IFERROR(INDEX(tblClusters[Charge existante CPU hors migration],MATCH($B241,tblClusters[Cluster],0)),0)</f>
        <v>0</v>
      </c>
      <c r="H241" s="24">
        <f>IFERROR(INDEX(tblClusters[Charge existante RAM hors migration (Go)],MATCH($B241,tblClusters[Cluster],0)),0)</f>
        <v>0</v>
      </c>
      <c r="I241" s="24">
        <f ca="1">SUMIFS(tblApplications[CPU cible ROKS],tblApplications[Cluster ROKS cible (auto)],$B241,tblApplications[Mois de bascule prevu],"&lt;="&amp;EOMONTH($A241,0),tblApplications[Inclus projection O/N],"O")</f>
        <v>0</v>
      </c>
      <c r="J241" s="24">
        <f ca="1">SUMIFS(tblApplications[RAM cible ROKS],tblApplications[Cluster ROKS cible (auto)],$B241,tblApplications[Mois de bascule prevu],"&lt;="&amp;EOMONTH($A241,0),tblApplications[Inclus projection O/N],"O")</f>
        <v>0</v>
      </c>
      <c r="K241" s="25">
        <f t="shared" ca="1" si="18"/>
        <v>0</v>
      </c>
      <c r="L241" s="25">
        <f t="shared" ca="1" si="19"/>
        <v>0</v>
      </c>
      <c r="M241" s="26" t="str">
        <f t="shared" si="20"/>
        <v/>
      </c>
      <c r="N241" s="26" t="str">
        <f t="shared" si="21"/>
        <v/>
      </c>
      <c r="O241" s="22" t="str">
        <f ca="1">IF(E241=0,IF(K241&gt;0,"Cluster sans capacite provisionnee","n/a"),IF(OR(M241&gt;=Clusters_ROKS!$AC$5,N241&gt;=Clusters_ROKS!$AC$5),"Seuil depasse","OK"))</f>
        <v>n/a</v>
      </c>
      <c r="P241" s="25">
        <f t="shared" ca="1" si="22"/>
        <v>0</v>
      </c>
      <c r="Q241" s="25">
        <f t="shared" ca="1" si="23"/>
        <v>0</v>
      </c>
      <c r="R241" s="24">
        <f ca="1">IF(AND(P241=0,Q241=0),0,IFERROR(MAX(ROUNDUP(P241/INDEX(tblClusters[vCPU / noeud (deduit)],MATCH($B241,tblClusters[Cluster],0)),0),ROUNDUP(Q241/INDEX(tblClusters[RAM / noeud - Go (deduit)],MATCH($B241,tblClusters[Cluster],0)),0)),"Flavor a definir"))</f>
        <v>0</v>
      </c>
    </row>
    <row r="242" spans="1:18" x14ac:dyDescent="0.2">
      <c r="A242" s="38">
        <v>46661</v>
      </c>
      <c r="B242" s="21" t="s">
        <v>194</v>
      </c>
      <c r="C242" s="28" t="str">
        <f>IFERROR(INDEX(tblClusters[Utilisation],MATCH($B242,tblClusters[Cluster],0)),"")</f>
        <v>Mutualise</v>
      </c>
      <c r="D242" s="28" t="str">
        <f>IFERROR(INDEX(tblClusters[Type (deduit)],MATCH($B242,tblClusters[Cluster],0)),"")</f>
        <v>Mutualise</v>
      </c>
      <c r="E242" s="24">
        <f>IFERROR(INDEX(tblClusters[CPU max (cores)],MATCH($B242,tblClusters[Cluster],0)),0)</f>
        <v>0</v>
      </c>
      <c r="F242" s="24">
        <f>IFERROR(INDEX(tblClusters[RAM max (Go)],MATCH($B242,tblClusters[Cluster],0)),0)</f>
        <v>0</v>
      </c>
      <c r="G242" s="24">
        <f>IFERROR(INDEX(tblClusters[Charge existante CPU hors migration],MATCH($B242,tblClusters[Cluster],0)),0)</f>
        <v>0</v>
      </c>
      <c r="H242" s="24">
        <f>IFERROR(INDEX(tblClusters[Charge existante RAM hors migration (Go)],MATCH($B242,tblClusters[Cluster],0)),0)</f>
        <v>0</v>
      </c>
      <c r="I242" s="24">
        <f ca="1">SUMIFS(tblApplications[CPU cible ROKS],tblApplications[Cluster ROKS cible (auto)],$B242,tblApplications[Mois de bascule prevu],"&lt;="&amp;EOMONTH($A242,0),tblApplications[Inclus projection O/N],"O")</f>
        <v>0</v>
      </c>
      <c r="J242" s="24">
        <f ca="1">SUMIFS(tblApplications[RAM cible ROKS],tblApplications[Cluster ROKS cible (auto)],$B242,tblApplications[Mois de bascule prevu],"&lt;="&amp;EOMONTH($A242,0),tblApplications[Inclus projection O/N],"O")</f>
        <v>0</v>
      </c>
      <c r="K242" s="25">
        <f t="shared" ca="1" si="18"/>
        <v>0</v>
      </c>
      <c r="L242" s="25">
        <f t="shared" ca="1" si="19"/>
        <v>0</v>
      </c>
      <c r="M242" s="26" t="str">
        <f t="shared" si="20"/>
        <v/>
      </c>
      <c r="N242" s="26" t="str">
        <f t="shared" si="21"/>
        <v/>
      </c>
      <c r="O242" s="22" t="str">
        <f ca="1">IF(E242=0,IF(K242&gt;0,"Cluster sans capacite provisionnee","n/a"),IF(OR(M242&gt;=Clusters_ROKS!$AC$5,N242&gt;=Clusters_ROKS!$AC$5),"Seuil depasse","OK"))</f>
        <v>n/a</v>
      </c>
      <c r="P242" s="25">
        <f t="shared" ca="1" si="22"/>
        <v>0</v>
      </c>
      <c r="Q242" s="25">
        <f t="shared" ca="1" si="23"/>
        <v>0</v>
      </c>
      <c r="R242" s="24">
        <f ca="1">IF(AND(P242=0,Q242=0),0,IFERROR(MAX(ROUNDUP(P242/INDEX(tblClusters[vCPU / noeud (deduit)],MATCH($B242,tblClusters[Cluster],0)),0),ROUNDUP(Q242/INDEX(tblClusters[RAM / noeud - Go (deduit)],MATCH($B242,tblClusters[Cluster],0)),0)),"Flavor a definir"))</f>
        <v>0</v>
      </c>
    </row>
    <row r="243" spans="1:18" x14ac:dyDescent="0.2">
      <c r="A243" s="38">
        <v>46692</v>
      </c>
      <c r="B243" s="21" t="s">
        <v>194</v>
      </c>
      <c r="C243" s="28" t="str">
        <f>IFERROR(INDEX(tblClusters[Utilisation],MATCH($B243,tblClusters[Cluster],0)),"")</f>
        <v>Mutualise</v>
      </c>
      <c r="D243" s="28" t="str">
        <f>IFERROR(INDEX(tblClusters[Type (deduit)],MATCH($B243,tblClusters[Cluster],0)),"")</f>
        <v>Mutualise</v>
      </c>
      <c r="E243" s="24">
        <f>IFERROR(INDEX(tblClusters[CPU max (cores)],MATCH($B243,tblClusters[Cluster],0)),0)</f>
        <v>0</v>
      </c>
      <c r="F243" s="24">
        <f>IFERROR(INDEX(tblClusters[RAM max (Go)],MATCH($B243,tblClusters[Cluster],0)),0)</f>
        <v>0</v>
      </c>
      <c r="G243" s="24">
        <f>IFERROR(INDEX(tblClusters[Charge existante CPU hors migration],MATCH($B243,tblClusters[Cluster],0)),0)</f>
        <v>0</v>
      </c>
      <c r="H243" s="24">
        <f>IFERROR(INDEX(tblClusters[Charge existante RAM hors migration (Go)],MATCH($B243,tblClusters[Cluster],0)),0)</f>
        <v>0</v>
      </c>
      <c r="I243" s="24">
        <f ca="1">SUMIFS(tblApplications[CPU cible ROKS],tblApplications[Cluster ROKS cible (auto)],$B243,tblApplications[Mois de bascule prevu],"&lt;="&amp;EOMONTH($A243,0),tblApplications[Inclus projection O/N],"O")</f>
        <v>0</v>
      </c>
      <c r="J243" s="24">
        <f ca="1">SUMIFS(tblApplications[RAM cible ROKS],tblApplications[Cluster ROKS cible (auto)],$B243,tblApplications[Mois de bascule prevu],"&lt;="&amp;EOMONTH($A243,0),tblApplications[Inclus projection O/N],"O")</f>
        <v>0</v>
      </c>
      <c r="K243" s="25">
        <f t="shared" ca="1" si="18"/>
        <v>0</v>
      </c>
      <c r="L243" s="25">
        <f t="shared" ca="1" si="19"/>
        <v>0</v>
      </c>
      <c r="M243" s="26" t="str">
        <f t="shared" si="20"/>
        <v/>
      </c>
      <c r="N243" s="26" t="str">
        <f t="shared" si="21"/>
        <v/>
      </c>
      <c r="O243" s="22" t="str">
        <f ca="1">IF(E243=0,IF(K243&gt;0,"Cluster sans capacite provisionnee","n/a"),IF(OR(M243&gt;=Clusters_ROKS!$AC$5,N243&gt;=Clusters_ROKS!$AC$5),"Seuil depasse","OK"))</f>
        <v>n/a</v>
      </c>
      <c r="P243" s="25">
        <f t="shared" ca="1" si="22"/>
        <v>0</v>
      </c>
      <c r="Q243" s="25">
        <f t="shared" ca="1" si="23"/>
        <v>0</v>
      </c>
      <c r="R243" s="24">
        <f ca="1">IF(AND(P243=0,Q243=0),0,IFERROR(MAX(ROUNDUP(P243/INDEX(tblClusters[vCPU / noeud (deduit)],MATCH($B243,tblClusters[Cluster],0)),0),ROUNDUP(Q243/INDEX(tblClusters[RAM / noeud - Go (deduit)],MATCH($B243,tblClusters[Cluster],0)),0)),"Flavor a definir"))</f>
        <v>0</v>
      </c>
    </row>
    <row r="244" spans="1:18" x14ac:dyDescent="0.2">
      <c r="A244" s="38">
        <v>46722</v>
      </c>
      <c r="B244" s="21" t="s">
        <v>194</v>
      </c>
      <c r="C244" s="28" t="str">
        <f>IFERROR(INDEX(tblClusters[Utilisation],MATCH($B244,tblClusters[Cluster],0)),"")</f>
        <v>Mutualise</v>
      </c>
      <c r="D244" s="28" t="str">
        <f>IFERROR(INDEX(tblClusters[Type (deduit)],MATCH($B244,tblClusters[Cluster],0)),"")</f>
        <v>Mutualise</v>
      </c>
      <c r="E244" s="24">
        <f>IFERROR(INDEX(tblClusters[CPU max (cores)],MATCH($B244,tblClusters[Cluster],0)),0)</f>
        <v>0</v>
      </c>
      <c r="F244" s="24">
        <f>IFERROR(INDEX(tblClusters[RAM max (Go)],MATCH($B244,tblClusters[Cluster],0)),0)</f>
        <v>0</v>
      </c>
      <c r="G244" s="24">
        <f>IFERROR(INDEX(tblClusters[Charge existante CPU hors migration],MATCH($B244,tblClusters[Cluster],0)),0)</f>
        <v>0</v>
      </c>
      <c r="H244" s="24">
        <f>IFERROR(INDEX(tblClusters[Charge existante RAM hors migration (Go)],MATCH($B244,tblClusters[Cluster],0)),0)</f>
        <v>0</v>
      </c>
      <c r="I244" s="24">
        <f ca="1">SUMIFS(tblApplications[CPU cible ROKS],tblApplications[Cluster ROKS cible (auto)],$B244,tblApplications[Mois de bascule prevu],"&lt;="&amp;EOMONTH($A244,0),tblApplications[Inclus projection O/N],"O")</f>
        <v>0</v>
      </c>
      <c r="J244" s="24">
        <f ca="1">SUMIFS(tblApplications[RAM cible ROKS],tblApplications[Cluster ROKS cible (auto)],$B244,tblApplications[Mois de bascule prevu],"&lt;="&amp;EOMONTH($A244,0),tblApplications[Inclus projection O/N],"O")</f>
        <v>0</v>
      </c>
      <c r="K244" s="25">
        <f t="shared" ca="1" si="18"/>
        <v>0</v>
      </c>
      <c r="L244" s="25">
        <f t="shared" ca="1" si="19"/>
        <v>0</v>
      </c>
      <c r="M244" s="26" t="str">
        <f t="shared" si="20"/>
        <v/>
      </c>
      <c r="N244" s="26" t="str">
        <f t="shared" si="21"/>
        <v/>
      </c>
      <c r="O244" s="22" t="str">
        <f ca="1">IF(E244=0,IF(K244&gt;0,"Cluster sans capacite provisionnee","n/a"),IF(OR(M244&gt;=Clusters_ROKS!$AC$5,N244&gt;=Clusters_ROKS!$AC$5),"Seuil depasse","OK"))</f>
        <v>n/a</v>
      </c>
      <c r="P244" s="25">
        <f t="shared" ca="1" si="22"/>
        <v>0</v>
      </c>
      <c r="Q244" s="25">
        <f t="shared" ca="1" si="23"/>
        <v>0</v>
      </c>
      <c r="R244" s="24">
        <f ca="1">IF(AND(P244=0,Q244=0),0,IFERROR(MAX(ROUNDUP(P244/INDEX(tblClusters[vCPU / noeud (deduit)],MATCH($B244,tblClusters[Cluster],0)),0),ROUNDUP(Q244/INDEX(tblClusters[RAM / noeud - Go (deduit)],MATCH($B244,tblClusters[Cluster],0)),0)),"Flavor a definir"))</f>
        <v>0</v>
      </c>
    </row>
    <row r="245" spans="1:18" x14ac:dyDescent="0.2">
      <c r="A245" s="38">
        <v>46388</v>
      </c>
      <c r="B245" s="21" t="s">
        <v>196</v>
      </c>
      <c r="C245" s="28" t="str">
        <f>IFERROR(INDEX(tblClusters[Utilisation],MATCH($B245,tblClusters[Cluster],0)),"")</f>
        <v>Mutualise</v>
      </c>
      <c r="D245" s="28" t="str">
        <f>IFERROR(INDEX(tblClusters[Type (deduit)],MATCH($B245,tblClusters[Cluster],0)),"")</f>
        <v>Mutualise</v>
      </c>
      <c r="E245" s="24">
        <f>IFERROR(INDEX(tblClusters[CPU max (cores)],MATCH($B245,tblClusters[Cluster],0)),0)</f>
        <v>480</v>
      </c>
      <c r="F245" s="24">
        <f>IFERROR(INDEX(tblClusters[RAM max (Go)],MATCH($B245,tblClusters[Cluster],0)),0)</f>
        <v>1920</v>
      </c>
      <c r="G245" s="24">
        <f>IFERROR(INDEX(tblClusters[Charge existante CPU hors migration],MATCH($B245,tblClusters[Cluster],0)),0)</f>
        <v>0</v>
      </c>
      <c r="H245" s="24">
        <f>IFERROR(INDEX(tblClusters[Charge existante RAM hors migration (Go)],MATCH($B245,tblClusters[Cluster],0)),0)</f>
        <v>0</v>
      </c>
      <c r="I245" s="24">
        <f ca="1">SUMIFS(tblApplications[CPU cible ROKS],tblApplications[Cluster ROKS cible (auto)],$B245,tblApplications[Mois de bascule prevu],"&lt;="&amp;EOMONTH($A245,0),tblApplications[Inclus projection O/N],"O")</f>
        <v>0</v>
      </c>
      <c r="J245" s="24">
        <f ca="1">SUMIFS(tblApplications[RAM cible ROKS],tblApplications[Cluster ROKS cible (auto)],$B245,tblApplications[Mois de bascule prevu],"&lt;="&amp;EOMONTH($A245,0),tblApplications[Inclus projection O/N],"O")</f>
        <v>0</v>
      </c>
      <c r="K245" s="25">
        <f t="shared" ca="1" si="18"/>
        <v>0</v>
      </c>
      <c r="L245" s="25">
        <f t="shared" ca="1" si="19"/>
        <v>0</v>
      </c>
      <c r="M245" s="26">
        <f t="shared" ca="1" si="20"/>
        <v>0</v>
      </c>
      <c r="N245" s="26">
        <f t="shared" ca="1" si="21"/>
        <v>0</v>
      </c>
      <c r="O245" s="22" t="str">
        <f ca="1">IF(E245=0,IF(K245&gt;0,"Cluster sans capacite provisionnee","n/a"),IF(OR(M245&gt;=Clusters_ROKS!$AC$5,N245&gt;=Clusters_ROKS!$AC$5),"Seuil depasse","OK"))</f>
        <v>OK</v>
      </c>
      <c r="P245" s="25">
        <f t="shared" ca="1" si="22"/>
        <v>0</v>
      </c>
      <c r="Q245" s="25">
        <f t="shared" ca="1" si="23"/>
        <v>0</v>
      </c>
      <c r="R245" s="24">
        <f ca="1">IF(AND(P245=0,Q245=0),0,IFERROR(MAX(ROUNDUP(P245/INDEX(tblClusters[vCPU / noeud (deduit)],MATCH($B245,tblClusters[Cluster],0)),0),ROUNDUP(Q245/INDEX(tblClusters[RAM / noeud - Go (deduit)],MATCH($B245,tblClusters[Cluster],0)),0)),"Flavor a definir"))</f>
        <v>0</v>
      </c>
    </row>
    <row r="246" spans="1:18" x14ac:dyDescent="0.2">
      <c r="A246" s="38">
        <v>46419</v>
      </c>
      <c r="B246" s="21" t="s">
        <v>196</v>
      </c>
      <c r="C246" s="28" t="str">
        <f>IFERROR(INDEX(tblClusters[Utilisation],MATCH($B246,tblClusters[Cluster],0)),"")</f>
        <v>Mutualise</v>
      </c>
      <c r="D246" s="28" t="str">
        <f>IFERROR(INDEX(tblClusters[Type (deduit)],MATCH($B246,tblClusters[Cluster],0)),"")</f>
        <v>Mutualise</v>
      </c>
      <c r="E246" s="24">
        <f>IFERROR(INDEX(tblClusters[CPU max (cores)],MATCH($B246,tblClusters[Cluster],0)),0)</f>
        <v>480</v>
      </c>
      <c r="F246" s="24">
        <f>IFERROR(INDEX(tblClusters[RAM max (Go)],MATCH($B246,tblClusters[Cluster],0)),0)</f>
        <v>1920</v>
      </c>
      <c r="G246" s="24">
        <f>IFERROR(INDEX(tblClusters[Charge existante CPU hors migration],MATCH($B246,tblClusters[Cluster],0)),0)</f>
        <v>0</v>
      </c>
      <c r="H246" s="24">
        <f>IFERROR(INDEX(tblClusters[Charge existante RAM hors migration (Go)],MATCH($B246,tblClusters[Cluster],0)),0)</f>
        <v>0</v>
      </c>
      <c r="I246" s="24">
        <f ca="1">SUMIFS(tblApplications[CPU cible ROKS],tblApplications[Cluster ROKS cible (auto)],$B246,tblApplications[Mois de bascule prevu],"&lt;="&amp;EOMONTH($A246,0),tblApplications[Inclus projection O/N],"O")</f>
        <v>0</v>
      </c>
      <c r="J246" s="24">
        <f ca="1">SUMIFS(tblApplications[RAM cible ROKS],tblApplications[Cluster ROKS cible (auto)],$B246,tblApplications[Mois de bascule prevu],"&lt;="&amp;EOMONTH($A246,0),tblApplications[Inclus projection O/N],"O")</f>
        <v>0</v>
      </c>
      <c r="K246" s="25">
        <f t="shared" ca="1" si="18"/>
        <v>0</v>
      </c>
      <c r="L246" s="25">
        <f t="shared" ca="1" si="19"/>
        <v>0</v>
      </c>
      <c r="M246" s="26">
        <f t="shared" ca="1" si="20"/>
        <v>0</v>
      </c>
      <c r="N246" s="26">
        <f t="shared" ca="1" si="21"/>
        <v>0</v>
      </c>
      <c r="O246" s="22" t="str">
        <f ca="1">IF(E246=0,IF(K246&gt;0,"Cluster sans capacite provisionnee","n/a"),IF(OR(M246&gt;=Clusters_ROKS!$AC$5,N246&gt;=Clusters_ROKS!$AC$5),"Seuil depasse","OK"))</f>
        <v>OK</v>
      </c>
      <c r="P246" s="25">
        <f t="shared" ca="1" si="22"/>
        <v>0</v>
      </c>
      <c r="Q246" s="25">
        <f t="shared" ca="1" si="23"/>
        <v>0</v>
      </c>
      <c r="R246" s="24">
        <f ca="1">IF(AND(P246=0,Q246=0),0,IFERROR(MAX(ROUNDUP(P246/INDEX(tblClusters[vCPU / noeud (deduit)],MATCH($B246,tblClusters[Cluster],0)),0),ROUNDUP(Q246/INDEX(tblClusters[RAM / noeud - Go (deduit)],MATCH($B246,tblClusters[Cluster],0)),0)),"Flavor a definir"))</f>
        <v>0</v>
      </c>
    </row>
    <row r="247" spans="1:18" x14ac:dyDescent="0.2">
      <c r="A247" s="38">
        <v>46447</v>
      </c>
      <c r="B247" s="21" t="s">
        <v>196</v>
      </c>
      <c r="C247" s="28" t="str">
        <f>IFERROR(INDEX(tblClusters[Utilisation],MATCH($B247,tblClusters[Cluster],0)),"")</f>
        <v>Mutualise</v>
      </c>
      <c r="D247" s="28" t="str">
        <f>IFERROR(INDEX(tblClusters[Type (deduit)],MATCH($B247,tblClusters[Cluster],0)),"")</f>
        <v>Mutualise</v>
      </c>
      <c r="E247" s="24">
        <f>IFERROR(INDEX(tblClusters[CPU max (cores)],MATCH($B247,tblClusters[Cluster],0)),0)</f>
        <v>480</v>
      </c>
      <c r="F247" s="24">
        <f>IFERROR(INDEX(tblClusters[RAM max (Go)],MATCH($B247,tblClusters[Cluster],0)),0)</f>
        <v>1920</v>
      </c>
      <c r="G247" s="24">
        <f>IFERROR(INDEX(tblClusters[Charge existante CPU hors migration],MATCH($B247,tblClusters[Cluster],0)),0)</f>
        <v>0</v>
      </c>
      <c r="H247" s="24">
        <f>IFERROR(INDEX(tblClusters[Charge existante RAM hors migration (Go)],MATCH($B247,tblClusters[Cluster],0)),0)</f>
        <v>0</v>
      </c>
      <c r="I247" s="24">
        <f ca="1">SUMIFS(tblApplications[CPU cible ROKS],tblApplications[Cluster ROKS cible (auto)],$B247,tblApplications[Mois de bascule prevu],"&lt;="&amp;EOMONTH($A247,0),tblApplications[Inclus projection O/N],"O")</f>
        <v>0</v>
      </c>
      <c r="J247" s="24">
        <f ca="1">SUMIFS(tblApplications[RAM cible ROKS],tblApplications[Cluster ROKS cible (auto)],$B247,tblApplications[Mois de bascule prevu],"&lt;="&amp;EOMONTH($A247,0),tblApplications[Inclus projection O/N],"O")</f>
        <v>0</v>
      </c>
      <c r="K247" s="25">
        <f t="shared" ca="1" si="18"/>
        <v>0</v>
      </c>
      <c r="L247" s="25">
        <f t="shared" ca="1" si="19"/>
        <v>0</v>
      </c>
      <c r="M247" s="26">
        <f t="shared" ca="1" si="20"/>
        <v>0</v>
      </c>
      <c r="N247" s="26">
        <f t="shared" ca="1" si="21"/>
        <v>0</v>
      </c>
      <c r="O247" s="22" t="str">
        <f ca="1">IF(E247=0,IF(K247&gt;0,"Cluster sans capacite provisionnee","n/a"),IF(OR(M247&gt;=Clusters_ROKS!$AC$5,N247&gt;=Clusters_ROKS!$AC$5),"Seuil depasse","OK"))</f>
        <v>OK</v>
      </c>
      <c r="P247" s="25">
        <f t="shared" ca="1" si="22"/>
        <v>0</v>
      </c>
      <c r="Q247" s="25">
        <f t="shared" ca="1" si="23"/>
        <v>0</v>
      </c>
      <c r="R247" s="24">
        <f ca="1">IF(AND(P247=0,Q247=0),0,IFERROR(MAX(ROUNDUP(P247/INDEX(tblClusters[vCPU / noeud (deduit)],MATCH($B247,tblClusters[Cluster],0)),0),ROUNDUP(Q247/INDEX(tblClusters[RAM / noeud - Go (deduit)],MATCH($B247,tblClusters[Cluster],0)),0)),"Flavor a definir"))</f>
        <v>0</v>
      </c>
    </row>
    <row r="248" spans="1:18" x14ac:dyDescent="0.2">
      <c r="A248" s="38">
        <v>46478</v>
      </c>
      <c r="B248" s="21" t="s">
        <v>196</v>
      </c>
      <c r="C248" s="28" t="str">
        <f>IFERROR(INDEX(tblClusters[Utilisation],MATCH($B248,tblClusters[Cluster],0)),"")</f>
        <v>Mutualise</v>
      </c>
      <c r="D248" s="28" t="str">
        <f>IFERROR(INDEX(tblClusters[Type (deduit)],MATCH($B248,tblClusters[Cluster],0)),"")</f>
        <v>Mutualise</v>
      </c>
      <c r="E248" s="24">
        <f>IFERROR(INDEX(tblClusters[CPU max (cores)],MATCH($B248,tblClusters[Cluster],0)),0)</f>
        <v>480</v>
      </c>
      <c r="F248" s="24">
        <f>IFERROR(INDEX(tblClusters[RAM max (Go)],MATCH($B248,tblClusters[Cluster],0)),0)</f>
        <v>1920</v>
      </c>
      <c r="G248" s="24">
        <f>IFERROR(INDEX(tblClusters[Charge existante CPU hors migration],MATCH($B248,tblClusters[Cluster],0)),0)</f>
        <v>0</v>
      </c>
      <c r="H248" s="24">
        <f>IFERROR(INDEX(tblClusters[Charge existante RAM hors migration (Go)],MATCH($B248,tblClusters[Cluster],0)),0)</f>
        <v>0</v>
      </c>
      <c r="I248" s="24">
        <f ca="1">SUMIFS(tblApplications[CPU cible ROKS],tblApplications[Cluster ROKS cible (auto)],$B248,tblApplications[Mois de bascule prevu],"&lt;="&amp;EOMONTH($A248,0),tblApplications[Inclus projection O/N],"O")</f>
        <v>0</v>
      </c>
      <c r="J248" s="24">
        <f ca="1">SUMIFS(tblApplications[RAM cible ROKS],tblApplications[Cluster ROKS cible (auto)],$B248,tblApplications[Mois de bascule prevu],"&lt;="&amp;EOMONTH($A248,0),tblApplications[Inclus projection O/N],"O")</f>
        <v>0</v>
      </c>
      <c r="K248" s="25">
        <f t="shared" ca="1" si="18"/>
        <v>0</v>
      </c>
      <c r="L248" s="25">
        <f t="shared" ca="1" si="19"/>
        <v>0</v>
      </c>
      <c r="M248" s="26">
        <f t="shared" ca="1" si="20"/>
        <v>0</v>
      </c>
      <c r="N248" s="26">
        <f t="shared" ca="1" si="21"/>
        <v>0</v>
      </c>
      <c r="O248" s="22" t="str">
        <f ca="1">IF(E248=0,IF(K248&gt;0,"Cluster sans capacite provisionnee","n/a"),IF(OR(M248&gt;=Clusters_ROKS!$AC$5,N248&gt;=Clusters_ROKS!$AC$5),"Seuil depasse","OK"))</f>
        <v>OK</v>
      </c>
      <c r="P248" s="25">
        <f t="shared" ca="1" si="22"/>
        <v>0</v>
      </c>
      <c r="Q248" s="25">
        <f t="shared" ca="1" si="23"/>
        <v>0</v>
      </c>
      <c r="R248" s="24">
        <f ca="1">IF(AND(P248=0,Q248=0),0,IFERROR(MAX(ROUNDUP(P248/INDEX(tblClusters[vCPU / noeud (deduit)],MATCH($B248,tblClusters[Cluster],0)),0),ROUNDUP(Q248/INDEX(tblClusters[RAM / noeud - Go (deduit)],MATCH($B248,tblClusters[Cluster],0)),0)),"Flavor a definir"))</f>
        <v>0</v>
      </c>
    </row>
    <row r="249" spans="1:18" x14ac:dyDescent="0.2">
      <c r="A249" s="38">
        <v>46508</v>
      </c>
      <c r="B249" s="21" t="s">
        <v>196</v>
      </c>
      <c r="C249" s="28" t="str">
        <f>IFERROR(INDEX(tblClusters[Utilisation],MATCH($B249,tblClusters[Cluster],0)),"")</f>
        <v>Mutualise</v>
      </c>
      <c r="D249" s="28" t="str">
        <f>IFERROR(INDEX(tblClusters[Type (deduit)],MATCH($B249,tblClusters[Cluster],0)),"")</f>
        <v>Mutualise</v>
      </c>
      <c r="E249" s="24">
        <f>IFERROR(INDEX(tblClusters[CPU max (cores)],MATCH($B249,tblClusters[Cluster],0)),0)</f>
        <v>480</v>
      </c>
      <c r="F249" s="24">
        <f>IFERROR(INDEX(tblClusters[RAM max (Go)],MATCH($B249,tblClusters[Cluster],0)),0)</f>
        <v>1920</v>
      </c>
      <c r="G249" s="24">
        <f>IFERROR(INDEX(tblClusters[Charge existante CPU hors migration],MATCH($B249,tblClusters[Cluster],0)),0)</f>
        <v>0</v>
      </c>
      <c r="H249" s="24">
        <f>IFERROR(INDEX(tblClusters[Charge existante RAM hors migration (Go)],MATCH($B249,tblClusters[Cluster],0)),0)</f>
        <v>0</v>
      </c>
      <c r="I249" s="24">
        <f ca="1">SUMIFS(tblApplications[CPU cible ROKS],tblApplications[Cluster ROKS cible (auto)],$B249,tblApplications[Mois de bascule prevu],"&lt;="&amp;EOMONTH($A249,0),tblApplications[Inclus projection O/N],"O")</f>
        <v>0</v>
      </c>
      <c r="J249" s="24">
        <f ca="1">SUMIFS(tblApplications[RAM cible ROKS],tblApplications[Cluster ROKS cible (auto)],$B249,tblApplications[Mois de bascule prevu],"&lt;="&amp;EOMONTH($A249,0),tblApplications[Inclus projection O/N],"O")</f>
        <v>0</v>
      </c>
      <c r="K249" s="25">
        <f t="shared" ca="1" si="18"/>
        <v>0</v>
      </c>
      <c r="L249" s="25">
        <f t="shared" ca="1" si="19"/>
        <v>0</v>
      </c>
      <c r="M249" s="26">
        <f t="shared" ca="1" si="20"/>
        <v>0</v>
      </c>
      <c r="N249" s="26">
        <f t="shared" ca="1" si="21"/>
        <v>0</v>
      </c>
      <c r="O249" s="22" t="str">
        <f ca="1">IF(E249=0,IF(K249&gt;0,"Cluster sans capacite provisionnee","n/a"),IF(OR(M249&gt;=Clusters_ROKS!$AC$5,N249&gt;=Clusters_ROKS!$AC$5),"Seuil depasse","OK"))</f>
        <v>OK</v>
      </c>
      <c r="P249" s="25">
        <f t="shared" ca="1" si="22"/>
        <v>0</v>
      </c>
      <c r="Q249" s="25">
        <f t="shared" ca="1" si="23"/>
        <v>0</v>
      </c>
      <c r="R249" s="24">
        <f ca="1">IF(AND(P249=0,Q249=0),0,IFERROR(MAX(ROUNDUP(P249/INDEX(tblClusters[vCPU / noeud (deduit)],MATCH($B249,tblClusters[Cluster],0)),0),ROUNDUP(Q249/INDEX(tblClusters[RAM / noeud - Go (deduit)],MATCH($B249,tblClusters[Cluster],0)),0)),"Flavor a definir"))</f>
        <v>0</v>
      </c>
    </row>
    <row r="250" spans="1:18" x14ac:dyDescent="0.2">
      <c r="A250" s="38">
        <v>46539</v>
      </c>
      <c r="B250" s="21" t="s">
        <v>196</v>
      </c>
      <c r="C250" s="28" t="str">
        <f>IFERROR(INDEX(tblClusters[Utilisation],MATCH($B250,tblClusters[Cluster],0)),"")</f>
        <v>Mutualise</v>
      </c>
      <c r="D250" s="28" t="str">
        <f>IFERROR(INDEX(tblClusters[Type (deduit)],MATCH($B250,tblClusters[Cluster],0)),"")</f>
        <v>Mutualise</v>
      </c>
      <c r="E250" s="24">
        <f>IFERROR(INDEX(tblClusters[CPU max (cores)],MATCH($B250,tblClusters[Cluster],0)),0)</f>
        <v>480</v>
      </c>
      <c r="F250" s="24">
        <f>IFERROR(INDEX(tblClusters[RAM max (Go)],MATCH($B250,tblClusters[Cluster],0)),0)</f>
        <v>1920</v>
      </c>
      <c r="G250" s="24">
        <f>IFERROR(INDEX(tblClusters[Charge existante CPU hors migration],MATCH($B250,tblClusters[Cluster],0)),0)</f>
        <v>0</v>
      </c>
      <c r="H250" s="24">
        <f>IFERROR(INDEX(tblClusters[Charge existante RAM hors migration (Go)],MATCH($B250,tblClusters[Cluster],0)),0)</f>
        <v>0</v>
      </c>
      <c r="I250" s="24">
        <f ca="1">SUMIFS(tblApplications[CPU cible ROKS],tblApplications[Cluster ROKS cible (auto)],$B250,tblApplications[Mois de bascule prevu],"&lt;="&amp;EOMONTH($A250,0),tblApplications[Inclus projection O/N],"O")</f>
        <v>0</v>
      </c>
      <c r="J250" s="24">
        <f ca="1">SUMIFS(tblApplications[RAM cible ROKS],tblApplications[Cluster ROKS cible (auto)],$B250,tblApplications[Mois de bascule prevu],"&lt;="&amp;EOMONTH($A250,0),tblApplications[Inclus projection O/N],"O")</f>
        <v>0</v>
      </c>
      <c r="K250" s="25">
        <f t="shared" ca="1" si="18"/>
        <v>0</v>
      </c>
      <c r="L250" s="25">
        <f t="shared" ca="1" si="19"/>
        <v>0</v>
      </c>
      <c r="M250" s="26">
        <f t="shared" ca="1" si="20"/>
        <v>0</v>
      </c>
      <c r="N250" s="26">
        <f t="shared" ca="1" si="21"/>
        <v>0</v>
      </c>
      <c r="O250" s="22" t="str">
        <f ca="1">IF(E250=0,IF(K250&gt;0,"Cluster sans capacite provisionnee","n/a"),IF(OR(M250&gt;=Clusters_ROKS!$AC$5,N250&gt;=Clusters_ROKS!$AC$5),"Seuil depasse","OK"))</f>
        <v>OK</v>
      </c>
      <c r="P250" s="25">
        <f t="shared" ca="1" si="22"/>
        <v>0</v>
      </c>
      <c r="Q250" s="25">
        <f t="shared" ca="1" si="23"/>
        <v>0</v>
      </c>
      <c r="R250" s="24">
        <f ca="1">IF(AND(P250=0,Q250=0),0,IFERROR(MAX(ROUNDUP(P250/INDEX(tblClusters[vCPU / noeud (deduit)],MATCH($B250,tblClusters[Cluster],0)),0),ROUNDUP(Q250/INDEX(tblClusters[RAM / noeud - Go (deduit)],MATCH($B250,tblClusters[Cluster],0)),0)),"Flavor a definir"))</f>
        <v>0</v>
      </c>
    </row>
    <row r="251" spans="1:18" x14ac:dyDescent="0.2">
      <c r="A251" s="38">
        <v>46569</v>
      </c>
      <c r="B251" s="21" t="s">
        <v>196</v>
      </c>
      <c r="C251" s="28" t="str">
        <f>IFERROR(INDEX(tblClusters[Utilisation],MATCH($B251,tblClusters[Cluster],0)),"")</f>
        <v>Mutualise</v>
      </c>
      <c r="D251" s="28" t="str">
        <f>IFERROR(INDEX(tblClusters[Type (deduit)],MATCH($B251,tblClusters[Cluster],0)),"")</f>
        <v>Mutualise</v>
      </c>
      <c r="E251" s="24">
        <f>IFERROR(INDEX(tblClusters[CPU max (cores)],MATCH($B251,tblClusters[Cluster],0)),0)</f>
        <v>480</v>
      </c>
      <c r="F251" s="24">
        <f>IFERROR(INDEX(tblClusters[RAM max (Go)],MATCH($B251,tblClusters[Cluster],0)),0)</f>
        <v>1920</v>
      </c>
      <c r="G251" s="24">
        <f>IFERROR(INDEX(tblClusters[Charge existante CPU hors migration],MATCH($B251,tblClusters[Cluster],0)),0)</f>
        <v>0</v>
      </c>
      <c r="H251" s="24">
        <f>IFERROR(INDEX(tblClusters[Charge existante RAM hors migration (Go)],MATCH($B251,tblClusters[Cluster],0)),0)</f>
        <v>0</v>
      </c>
      <c r="I251" s="24">
        <f ca="1">SUMIFS(tblApplications[CPU cible ROKS],tblApplications[Cluster ROKS cible (auto)],$B251,tblApplications[Mois de bascule prevu],"&lt;="&amp;EOMONTH($A251,0),tblApplications[Inclus projection O/N],"O")</f>
        <v>0</v>
      </c>
      <c r="J251" s="24">
        <f ca="1">SUMIFS(tblApplications[RAM cible ROKS],tblApplications[Cluster ROKS cible (auto)],$B251,tblApplications[Mois de bascule prevu],"&lt;="&amp;EOMONTH($A251,0),tblApplications[Inclus projection O/N],"O")</f>
        <v>0</v>
      </c>
      <c r="K251" s="25">
        <f t="shared" ca="1" si="18"/>
        <v>0</v>
      </c>
      <c r="L251" s="25">
        <f t="shared" ca="1" si="19"/>
        <v>0</v>
      </c>
      <c r="M251" s="26">
        <f t="shared" ca="1" si="20"/>
        <v>0</v>
      </c>
      <c r="N251" s="26">
        <f t="shared" ca="1" si="21"/>
        <v>0</v>
      </c>
      <c r="O251" s="22" t="str">
        <f ca="1">IF(E251=0,IF(K251&gt;0,"Cluster sans capacite provisionnee","n/a"),IF(OR(M251&gt;=Clusters_ROKS!$AC$5,N251&gt;=Clusters_ROKS!$AC$5),"Seuil depasse","OK"))</f>
        <v>OK</v>
      </c>
      <c r="P251" s="25">
        <f t="shared" ca="1" si="22"/>
        <v>0</v>
      </c>
      <c r="Q251" s="25">
        <f t="shared" ca="1" si="23"/>
        <v>0</v>
      </c>
      <c r="R251" s="24">
        <f ca="1">IF(AND(P251=0,Q251=0),0,IFERROR(MAX(ROUNDUP(P251/INDEX(tblClusters[vCPU / noeud (deduit)],MATCH($B251,tblClusters[Cluster],0)),0),ROUNDUP(Q251/INDEX(tblClusters[RAM / noeud - Go (deduit)],MATCH($B251,tblClusters[Cluster],0)),0)),"Flavor a definir"))</f>
        <v>0</v>
      </c>
    </row>
    <row r="252" spans="1:18" x14ac:dyDescent="0.2">
      <c r="A252" s="38">
        <v>46600</v>
      </c>
      <c r="B252" s="21" t="s">
        <v>196</v>
      </c>
      <c r="C252" s="28" t="str">
        <f>IFERROR(INDEX(tblClusters[Utilisation],MATCH($B252,tblClusters[Cluster],0)),"")</f>
        <v>Mutualise</v>
      </c>
      <c r="D252" s="28" t="str">
        <f>IFERROR(INDEX(tblClusters[Type (deduit)],MATCH($B252,tblClusters[Cluster],0)),"")</f>
        <v>Mutualise</v>
      </c>
      <c r="E252" s="24">
        <f>IFERROR(INDEX(tblClusters[CPU max (cores)],MATCH($B252,tblClusters[Cluster],0)),0)</f>
        <v>480</v>
      </c>
      <c r="F252" s="24">
        <f>IFERROR(INDEX(tblClusters[RAM max (Go)],MATCH($B252,tblClusters[Cluster],0)),0)</f>
        <v>1920</v>
      </c>
      <c r="G252" s="24">
        <f>IFERROR(INDEX(tblClusters[Charge existante CPU hors migration],MATCH($B252,tblClusters[Cluster],0)),0)</f>
        <v>0</v>
      </c>
      <c r="H252" s="24">
        <f>IFERROR(INDEX(tblClusters[Charge existante RAM hors migration (Go)],MATCH($B252,tblClusters[Cluster],0)),0)</f>
        <v>0</v>
      </c>
      <c r="I252" s="24">
        <f ca="1">SUMIFS(tblApplications[CPU cible ROKS],tblApplications[Cluster ROKS cible (auto)],$B252,tblApplications[Mois de bascule prevu],"&lt;="&amp;EOMONTH($A252,0),tblApplications[Inclus projection O/N],"O")</f>
        <v>0</v>
      </c>
      <c r="J252" s="24">
        <f ca="1">SUMIFS(tblApplications[RAM cible ROKS],tblApplications[Cluster ROKS cible (auto)],$B252,tblApplications[Mois de bascule prevu],"&lt;="&amp;EOMONTH($A252,0),tblApplications[Inclus projection O/N],"O")</f>
        <v>0</v>
      </c>
      <c r="K252" s="25">
        <f t="shared" ca="1" si="18"/>
        <v>0</v>
      </c>
      <c r="L252" s="25">
        <f t="shared" ca="1" si="19"/>
        <v>0</v>
      </c>
      <c r="M252" s="26">
        <f t="shared" ca="1" si="20"/>
        <v>0</v>
      </c>
      <c r="N252" s="26">
        <f t="shared" ca="1" si="21"/>
        <v>0</v>
      </c>
      <c r="O252" s="22" t="str">
        <f ca="1">IF(E252=0,IF(K252&gt;0,"Cluster sans capacite provisionnee","n/a"),IF(OR(M252&gt;=Clusters_ROKS!$AC$5,N252&gt;=Clusters_ROKS!$AC$5),"Seuil depasse","OK"))</f>
        <v>OK</v>
      </c>
      <c r="P252" s="25">
        <f t="shared" ca="1" si="22"/>
        <v>0</v>
      </c>
      <c r="Q252" s="25">
        <f t="shared" ca="1" si="23"/>
        <v>0</v>
      </c>
      <c r="R252" s="24">
        <f ca="1">IF(AND(P252=0,Q252=0),0,IFERROR(MAX(ROUNDUP(P252/INDEX(tblClusters[vCPU / noeud (deduit)],MATCH($B252,tblClusters[Cluster],0)),0),ROUNDUP(Q252/INDEX(tblClusters[RAM / noeud - Go (deduit)],MATCH($B252,tblClusters[Cluster],0)),0)),"Flavor a definir"))</f>
        <v>0</v>
      </c>
    </row>
    <row r="253" spans="1:18" x14ac:dyDescent="0.2">
      <c r="A253" s="38">
        <v>46631</v>
      </c>
      <c r="B253" s="21" t="s">
        <v>196</v>
      </c>
      <c r="C253" s="28" t="str">
        <f>IFERROR(INDEX(tblClusters[Utilisation],MATCH($B253,tblClusters[Cluster],0)),"")</f>
        <v>Mutualise</v>
      </c>
      <c r="D253" s="28" t="str">
        <f>IFERROR(INDEX(tblClusters[Type (deduit)],MATCH($B253,tblClusters[Cluster],0)),"")</f>
        <v>Mutualise</v>
      </c>
      <c r="E253" s="24">
        <f>IFERROR(INDEX(tblClusters[CPU max (cores)],MATCH($B253,tblClusters[Cluster],0)),0)</f>
        <v>480</v>
      </c>
      <c r="F253" s="24">
        <f>IFERROR(INDEX(tblClusters[RAM max (Go)],MATCH($B253,tblClusters[Cluster],0)),0)</f>
        <v>1920</v>
      </c>
      <c r="G253" s="24">
        <f>IFERROR(INDEX(tblClusters[Charge existante CPU hors migration],MATCH($B253,tblClusters[Cluster],0)),0)</f>
        <v>0</v>
      </c>
      <c r="H253" s="24">
        <f>IFERROR(INDEX(tblClusters[Charge existante RAM hors migration (Go)],MATCH($B253,tblClusters[Cluster],0)),0)</f>
        <v>0</v>
      </c>
      <c r="I253" s="24">
        <f ca="1">SUMIFS(tblApplications[CPU cible ROKS],tblApplications[Cluster ROKS cible (auto)],$B253,tblApplications[Mois de bascule prevu],"&lt;="&amp;EOMONTH($A253,0),tblApplications[Inclus projection O/N],"O")</f>
        <v>0</v>
      </c>
      <c r="J253" s="24">
        <f ca="1">SUMIFS(tblApplications[RAM cible ROKS],tblApplications[Cluster ROKS cible (auto)],$B253,tblApplications[Mois de bascule prevu],"&lt;="&amp;EOMONTH($A253,0),tblApplications[Inclus projection O/N],"O")</f>
        <v>0</v>
      </c>
      <c r="K253" s="25">
        <f t="shared" ca="1" si="18"/>
        <v>0</v>
      </c>
      <c r="L253" s="25">
        <f t="shared" ca="1" si="19"/>
        <v>0</v>
      </c>
      <c r="M253" s="26">
        <f t="shared" ca="1" si="20"/>
        <v>0</v>
      </c>
      <c r="N253" s="26">
        <f t="shared" ca="1" si="21"/>
        <v>0</v>
      </c>
      <c r="O253" s="22" t="str">
        <f ca="1">IF(E253=0,IF(K253&gt;0,"Cluster sans capacite provisionnee","n/a"),IF(OR(M253&gt;=Clusters_ROKS!$AC$5,N253&gt;=Clusters_ROKS!$AC$5),"Seuil depasse","OK"))</f>
        <v>OK</v>
      </c>
      <c r="P253" s="25">
        <f t="shared" ca="1" si="22"/>
        <v>0</v>
      </c>
      <c r="Q253" s="25">
        <f t="shared" ca="1" si="23"/>
        <v>0</v>
      </c>
      <c r="R253" s="24">
        <f ca="1">IF(AND(P253=0,Q253=0),0,IFERROR(MAX(ROUNDUP(P253/INDEX(tblClusters[vCPU / noeud (deduit)],MATCH($B253,tblClusters[Cluster],0)),0),ROUNDUP(Q253/INDEX(tblClusters[RAM / noeud - Go (deduit)],MATCH($B253,tblClusters[Cluster],0)),0)),"Flavor a definir"))</f>
        <v>0</v>
      </c>
    </row>
    <row r="254" spans="1:18" x14ac:dyDescent="0.2">
      <c r="A254" s="38">
        <v>46661</v>
      </c>
      <c r="B254" s="21" t="s">
        <v>196</v>
      </c>
      <c r="C254" s="28" t="str">
        <f>IFERROR(INDEX(tblClusters[Utilisation],MATCH($B254,tblClusters[Cluster],0)),"")</f>
        <v>Mutualise</v>
      </c>
      <c r="D254" s="28" t="str">
        <f>IFERROR(INDEX(tblClusters[Type (deduit)],MATCH($B254,tblClusters[Cluster],0)),"")</f>
        <v>Mutualise</v>
      </c>
      <c r="E254" s="24">
        <f>IFERROR(INDEX(tblClusters[CPU max (cores)],MATCH($B254,tblClusters[Cluster],0)),0)</f>
        <v>480</v>
      </c>
      <c r="F254" s="24">
        <f>IFERROR(INDEX(tblClusters[RAM max (Go)],MATCH($B254,tblClusters[Cluster],0)),0)</f>
        <v>1920</v>
      </c>
      <c r="G254" s="24">
        <f>IFERROR(INDEX(tblClusters[Charge existante CPU hors migration],MATCH($B254,tblClusters[Cluster],0)),0)</f>
        <v>0</v>
      </c>
      <c r="H254" s="24">
        <f>IFERROR(INDEX(tblClusters[Charge existante RAM hors migration (Go)],MATCH($B254,tblClusters[Cluster],0)),0)</f>
        <v>0</v>
      </c>
      <c r="I254" s="24">
        <f ca="1">SUMIFS(tblApplications[CPU cible ROKS],tblApplications[Cluster ROKS cible (auto)],$B254,tblApplications[Mois de bascule prevu],"&lt;="&amp;EOMONTH($A254,0),tblApplications[Inclus projection O/N],"O")</f>
        <v>0</v>
      </c>
      <c r="J254" s="24">
        <f ca="1">SUMIFS(tblApplications[RAM cible ROKS],tblApplications[Cluster ROKS cible (auto)],$B254,tblApplications[Mois de bascule prevu],"&lt;="&amp;EOMONTH($A254,0),tblApplications[Inclus projection O/N],"O")</f>
        <v>0</v>
      </c>
      <c r="K254" s="25">
        <f t="shared" ca="1" si="18"/>
        <v>0</v>
      </c>
      <c r="L254" s="25">
        <f t="shared" ca="1" si="19"/>
        <v>0</v>
      </c>
      <c r="M254" s="26">
        <f t="shared" ca="1" si="20"/>
        <v>0</v>
      </c>
      <c r="N254" s="26">
        <f t="shared" ca="1" si="21"/>
        <v>0</v>
      </c>
      <c r="O254" s="22" t="str">
        <f ca="1">IF(E254=0,IF(K254&gt;0,"Cluster sans capacite provisionnee","n/a"),IF(OR(M254&gt;=Clusters_ROKS!$AC$5,N254&gt;=Clusters_ROKS!$AC$5),"Seuil depasse","OK"))</f>
        <v>OK</v>
      </c>
      <c r="P254" s="25">
        <f t="shared" ca="1" si="22"/>
        <v>0</v>
      </c>
      <c r="Q254" s="25">
        <f t="shared" ca="1" si="23"/>
        <v>0</v>
      </c>
      <c r="R254" s="24">
        <f ca="1">IF(AND(P254=0,Q254=0),0,IFERROR(MAX(ROUNDUP(P254/INDEX(tblClusters[vCPU / noeud (deduit)],MATCH($B254,tblClusters[Cluster],0)),0),ROUNDUP(Q254/INDEX(tblClusters[RAM / noeud - Go (deduit)],MATCH($B254,tblClusters[Cluster],0)),0)),"Flavor a definir"))</f>
        <v>0</v>
      </c>
    </row>
    <row r="255" spans="1:18" x14ac:dyDescent="0.2">
      <c r="A255" s="38">
        <v>46692</v>
      </c>
      <c r="B255" s="21" t="s">
        <v>196</v>
      </c>
      <c r="C255" s="28" t="str">
        <f>IFERROR(INDEX(tblClusters[Utilisation],MATCH($B255,tblClusters[Cluster],0)),"")</f>
        <v>Mutualise</v>
      </c>
      <c r="D255" s="28" t="str">
        <f>IFERROR(INDEX(tblClusters[Type (deduit)],MATCH($B255,tblClusters[Cluster],0)),"")</f>
        <v>Mutualise</v>
      </c>
      <c r="E255" s="24">
        <f>IFERROR(INDEX(tblClusters[CPU max (cores)],MATCH($B255,tblClusters[Cluster],0)),0)</f>
        <v>480</v>
      </c>
      <c r="F255" s="24">
        <f>IFERROR(INDEX(tblClusters[RAM max (Go)],MATCH($B255,tblClusters[Cluster],0)),0)</f>
        <v>1920</v>
      </c>
      <c r="G255" s="24">
        <f>IFERROR(INDEX(tblClusters[Charge existante CPU hors migration],MATCH($B255,tblClusters[Cluster],0)),0)</f>
        <v>0</v>
      </c>
      <c r="H255" s="24">
        <f>IFERROR(INDEX(tblClusters[Charge existante RAM hors migration (Go)],MATCH($B255,tblClusters[Cluster],0)),0)</f>
        <v>0</v>
      </c>
      <c r="I255" s="24">
        <f ca="1">SUMIFS(tblApplications[CPU cible ROKS],tblApplications[Cluster ROKS cible (auto)],$B255,tblApplications[Mois de bascule prevu],"&lt;="&amp;EOMONTH($A255,0),tblApplications[Inclus projection O/N],"O")</f>
        <v>0</v>
      </c>
      <c r="J255" s="24">
        <f ca="1">SUMIFS(tblApplications[RAM cible ROKS],tblApplications[Cluster ROKS cible (auto)],$B255,tblApplications[Mois de bascule prevu],"&lt;="&amp;EOMONTH($A255,0),tblApplications[Inclus projection O/N],"O")</f>
        <v>0</v>
      </c>
      <c r="K255" s="25">
        <f t="shared" ca="1" si="18"/>
        <v>0</v>
      </c>
      <c r="L255" s="25">
        <f t="shared" ca="1" si="19"/>
        <v>0</v>
      </c>
      <c r="M255" s="26">
        <f t="shared" ca="1" si="20"/>
        <v>0</v>
      </c>
      <c r="N255" s="26">
        <f t="shared" ca="1" si="21"/>
        <v>0</v>
      </c>
      <c r="O255" s="22" t="str">
        <f ca="1">IF(E255=0,IF(K255&gt;0,"Cluster sans capacite provisionnee","n/a"),IF(OR(M255&gt;=Clusters_ROKS!$AC$5,N255&gt;=Clusters_ROKS!$AC$5),"Seuil depasse","OK"))</f>
        <v>OK</v>
      </c>
      <c r="P255" s="25">
        <f t="shared" ca="1" si="22"/>
        <v>0</v>
      </c>
      <c r="Q255" s="25">
        <f t="shared" ca="1" si="23"/>
        <v>0</v>
      </c>
      <c r="R255" s="24">
        <f ca="1">IF(AND(P255=0,Q255=0),0,IFERROR(MAX(ROUNDUP(P255/INDEX(tblClusters[vCPU / noeud (deduit)],MATCH($B255,tblClusters[Cluster],0)),0),ROUNDUP(Q255/INDEX(tblClusters[RAM / noeud - Go (deduit)],MATCH($B255,tblClusters[Cluster],0)),0)),"Flavor a definir"))</f>
        <v>0</v>
      </c>
    </row>
    <row r="256" spans="1:18" x14ac:dyDescent="0.2">
      <c r="A256" s="38">
        <v>46722</v>
      </c>
      <c r="B256" s="21" t="s">
        <v>196</v>
      </c>
      <c r="C256" s="28" t="str">
        <f>IFERROR(INDEX(tblClusters[Utilisation],MATCH($B256,tblClusters[Cluster],0)),"")</f>
        <v>Mutualise</v>
      </c>
      <c r="D256" s="28" t="str">
        <f>IFERROR(INDEX(tblClusters[Type (deduit)],MATCH($B256,tblClusters[Cluster],0)),"")</f>
        <v>Mutualise</v>
      </c>
      <c r="E256" s="24">
        <f>IFERROR(INDEX(tblClusters[CPU max (cores)],MATCH($B256,tblClusters[Cluster],0)),0)</f>
        <v>480</v>
      </c>
      <c r="F256" s="24">
        <f>IFERROR(INDEX(tblClusters[RAM max (Go)],MATCH($B256,tblClusters[Cluster],0)),0)</f>
        <v>1920</v>
      </c>
      <c r="G256" s="24">
        <f>IFERROR(INDEX(tblClusters[Charge existante CPU hors migration],MATCH($B256,tblClusters[Cluster],0)),0)</f>
        <v>0</v>
      </c>
      <c r="H256" s="24">
        <f>IFERROR(INDEX(tblClusters[Charge existante RAM hors migration (Go)],MATCH($B256,tblClusters[Cluster],0)),0)</f>
        <v>0</v>
      </c>
      <c r="I256" s="24">
        <f ca="1">SUMIFS(tblApplications[CPU cible ROKS],tblApplications[Cluster ROKS cible (auto)],$B256,tblApplications[Mois de bascule prevu],"&lt;="&amp;EOMONTH($A256,0),tblApplications[Inclus projection O/N],"O")</f>
        <v>0</v>
      </c>
      <c r="J256" s="24">
        <f ca="1">SUMIFS(tblApplications[RAM cible ROKS],tblApplications[Cluster ROKS cible (auto)],$B256,tblApplications[Mois de bascule prevu],"&lt;="&amp;EOMONTH($A256,0),tblApplications[Inclus projection O/N],"O")</f>
        <v>0</v>
      </c>
      <c r="K256" s="25">
        <f t="shared" ca="1" si="18"/>
        <v>0</v>
      </c>
      <c r="L256" s="25">
        <f t="shared" ca="1" si="19"/>
        <v>0</v>
      </c>
      <c r="M256" s="26">
        <f t="shared" ca="1" si="20"/>
        <v>0</v>
      </c>
      <c r="N256" s="26">
        <f t="shared" ca="1" si="21"/>
        <v>0</v>
      </c>
      <c r="O256" s="22" t="str">
        <f ca="1">IF(E256=0,IF(K256&gt;0,"Cluster sans capacite provisionnee","n/a"),IF(OR(M256&gt;=Clusters_ROKS!$AC$5,N256&gt;=Clusters_ROKS!$AC$5),"Seuil depasse","OK"))</f>
        <v>OK</v>
      </c>
      <c r="P256" s="25">
        <f t="shared" ca="1" si="22"/>
        <v>0</v>
      </c>
      <c r="Q256" s="25">
        <f t="shared" ca="1" si="23"/>
        <v>0</v>
      </c>
      <c r="R256" s="24">
        <f ca="1">IF(AND(P256=0,Q256=0),0,IFERROR(MAX(ROUNDUP(P256/INDEX(tblClusters[vCPU / noeud (deduit)],MATCH($B256,tblClusters[Cluster],0)),0),ROUNDUP(Q256/INDEX(tblClusters[RAM / noeud - Go (deduit)],MATCH($B256,tblClusters[Cluster],0)),0)),"Flavor a definir"))</f>
        <v>0</v>
      </c>
    </row>
    <row r="257" spans="1:18" x14ac:dyDescent="0.2">
      <c r="A257" s="38">
        <v>46388</v>
      </c>
      <c r="B257" s="21" t="s">
        <v>197</v>
      </c>
      <c r="C257" s="28" t="str">
        <f>IFERROR(INDEX(tblClusters[Utilisation],MATCH($B257,tblClusters[Cluster],0)),"")</f>
        <v>PREZ-i</v>
      </c>
      <c r="D257" s="28" t="str">
        <f>IFERROR(INDEX(tblClusters[Type (deduit)],MATCH($B257,tblClusters[Cluster],0)),"")</f>
        <v>Dedie</v>
      </c>
      <c r="E257" s="24">
        <f>IFERROR(INDEX(tblClusters[CPU max (cores)],MATCH($B257,tblClusters[Cluster],0)),0)</f>
        <v>480</v>
      </c>
      <c r="F257" s="24">
        <f>IFERROR(INDEX(tblClusters[RAM max (Go)],MATCH($B257,tblClusters[Cluster],0)),0)</f>
        <v>1920</v>
      </c>
      <c r="G257" s="24">
        <f>IFERROR(INDEX(tblClusters[Charge existante CPU hors migration],MATCH($B257,tblClusters[Cluster],0)),0)</f>
        <v>0</v>
      </c>
      <c r="H257" s="24">
        <f>IFERROR(INDEX(tblClusters[Charge existante RAM hors migration (Go)],MATCH($B257,tblClusters[Cluster],0)),0)</f>
        <v>0</v>
      </c>
      <c r="I257" s="24">
        <f ca="1">SUMIFS(tblApplications[CPU cible ROKS],tblApplications[Cluster ROKS cible (auto)],$B257,tblApplications[Mois de bascule prevu],"&lt;="&amp;EOMONTH($A257,0),tblApplications[Inclus projection O/N],"O")</f>
        <v>0</v>
      </c>
      <c r="J257" s="24">
        <f ca="1">SUMIFS(tblApplications[RAM cible ROKS],tblApplications[Cluster ROKS cible (auto)],$B257,tblApplications[Mois de bascule prevu],"&lt;="&amp;EOMONTH($A257,0),tblApplications[Inclus projection O/N],"O")</f>
        <v>0</v>
      </c>
      <c r="K257" s="25">
        <f t="shared" ca="1" si="18"/>
        <v>0</v>
      </c>
      <c r="L257" s="25">
        <f t="shared" ca="1" si="19"/>
        <v>0</v>
      </c>
      <c r="M257" s="26">
        <f t="shared" ca="1" si="20"/>
        <v>0</v>
      </c>
      <c r="N257" s="26">
        <f t="shared" ca="1" si="21"/>
        <v>0</v>
      </c>
      <c r="O257" s="22" t="str">
        <f ca="1">IF(E257=0,IF(K257&gt;0,"Cluster sans capacite provisionnee","n/a"),IF(OR(M257&gt;=Clusters_ROKS!$AC$5,N257&gt;=Clusters_ROKS!$AC$5),"Seuil depasse","OK"))</f>
        <v>OK</v>
      </c>
      <c r="P257" s="25">
        <f t="shared" ca="1" si="22"/>
        <v>0</v>
      </c>
      <c r="Q257" s="25">
        <f t="shared" ca="1" si="23"/>
        <v>0</v>
      </c>
      <c r="R257" s="24">
        <f ca="1">IF(AND(P257=0,Q257=0),0,IFERROR(MAX(ROUNDUP(P257/INDEX(tblClusters[vCPU / noeud (deduit)],MATCH($B257,tblClusters[Cluster],0)),0),ROUNDUP(Q257/INDEX(tblClusters[RAM / noeud - Go (deduit)],MATCH($B257,tblClusters[Cluster],0)),0)),"Flavor a definir"))</f>
        <v>0</v>
      </c>
    </row>
    <row r="258" spans="1:18" x14ac:dyDescent="0.2">
      <c r="A258" s="38">
        <v>46419</v>
      </c>
      <c r="B258" s="21" t="s">
        <v>197</v>
      </c>
      <c r="C258" s="28" t="str">
        <f>IFERROR(INDEX(tblClusters[Utilisation],MATCH($B258,tblClusters[Cluster],0)),"")</f>
        <v>PREZ-i</v>
      </c>
      <c r="D258" s="28" t="str">
        <f>IFERROR(INDEX(tblClusters[Type (deduit)],MATCH($B258,tblClusters[Cluster],0)),"")</f>
        <v>Dedie</v>
      </c>
      <c r="E258" s="24">
        <f>IFERROR(INDEX(tblClusters[CPU max (cores)],MATCH($B258,tblClusters[Cluster],0)),0)</f>
        <v>480</v>
      </c>
      <c r="F258" s="24">
        <f>IFERROR(INDEX(tblClusters[RAM max (Go)],MATCH($B258,tblClusters[Cluster],0)),0)</f>
        <v>1920</v>
      </c>
      <c r="G258" s="24">
        <f>IFERROR(INDEX(tblClusters[Charge existante CPU hors migration],MATCH($B258,tblClusters[Cluster],0)),0)</f>
        <v>0</v>
      </c>
      <c r="H258" s="24">
        <f>IFERROR(INDEX(tblClusters[Charge existante RAM hors migration (Go)],MATCH($B258,tblClusters[Cluster],0)),0)</f>
        <v>0</v>
      </c>
      <c r="I258" s="24">
        <f ca="1">SUMIFS(tblApplications[CPU cible ROKS],tblApplications[Cluster ROKS cible (auto)],$B258,tblApplications[Mois de bascule prevu],"&lt;="&amp;EOMONTH($A258,0),tblApplications[Inclus projection O/N],"O")</f>
        <v>0</v>
      </c>
      <c r="J258" s="24">
        <f ca="1">SUMIFS(tblApplications[RAM cible ROKS],tblApplications[Cluster ROKS cible (auto)],$B258,tblApplications[Mois de bascule prevu],"&lt;="&amp;EOMONTH($A258,0),tblApplications[Inclus projection O/N],"O")</f>
        <v>0</v>
      </c>
      <c r="K258" s="25">
        <f t="shared" ca="1" si="18"/>
        <v>0</v>
      </c>
      <c r="L258" s="25">
        <f t="shared" ca="1" si="19"/>
        <v>0</v>
      </c>
      <c r="M258" s="26">
        <f t="shared" ca="1" si="20"/>
        <v>0</v>
      </c>
      <c r="N258" s="26">
        <f t="shared" ca="1" si="21"/>
        <v>0</v>
      </c>
      <c r="O258" s="22" t="str">
        <f ca="1">IF(E258=0,IF(K258&gt;0,"Cluster sans capacite provisionnee","n/a"),IF(OR(M258&gt;=Clusters_ROKS!$AC$5,N258&gt;=Clusters_ROKS!$AC$5),"Seuil depasse","OK"))</f>
        <v>OK</v>
      </c>
      <c r="P258" s="25">
        <f t="shared" ca="1" si="22"/>
        <v>0</v>
      </c>
      <c r="Q258" s="25">
        <f t="shared" ca="1" si="23"/>
        <v>0</v>
      </c>
      <c r="R258" s="24">
        <f ca="1">IF(AND(P258=0,Q258=0),0,IFERROR(MAX(ROUNDUP(P258/INDEX(tblClusters[vCPU / noeud (deduit)],MATCH($B258,tblClusters[Cluster],0)),0),ROUNDUP(Q258/INDEX(tblClusters[RAM / noeud - Go (deduit)],MATCH($B258,tblClusters[Cluster],0)),0)),"Flavor a definir"))</f>
        <v>0</v>
      </c>
    </row>
    <row r="259" spans="1:18" x14ac:dyDescent="0.2">
      <c r="A259" s="38">
        <v>46447</v>
      </c>
      <c r="B259" s="21" t="s">
        <v>197</v>
      </c>
      <c r="C259" s="28" t="str">
        <f>IFERROR(INDEX(tblClusters[Utilisation],MATCH($B259,tblClusters[Cluster],0)),"")</f>
        <v>PREZ-i</v>
      </c>
      <c r="D259" s="28" t="str">
        <f>IFERROR(INDEX(tblClusters[Type (deduit)],MATCH($B259,tblClusters[Cluster],0)),"")</f>
        <v>Dedie</v>
      </c>
      <c r="E259" s="24">
        <f>IFERROR(INDEX(tblClusters[CPU max (cores)],MATCH($B259,tblClusters[Cluster],0)),0)</f>
        <v>480</v>
      </c>
      <c r="F259" s="24">
        <f>IFERROR(INDEX(tblClusters[RAM max (Go)],MATCH($B259,tblClusters[Cluster],0)),0)</f>
        <v>1920</v>
      </c>
      <c r="G259" s="24">
        <f>IFERROR(INDEX(tblClusters[Charge existante CPU hors migration],MATCH($B259,tblClusters[Cluster],0)),0)</f>
        <v>0</v>
      </c>
      <c r="H259" s="24">
        <f>IFERROR(INDEX(tblClusters[Charge existante RAM hors migration (Go)],MATCH($B259,tblClusters[Cluster],0)),0)</f>
        <v>0</v>
      </c>
      <c r="I259" s="24">
        <f ca="1">SUMIFS(tblApplications[CPU cible ROKS],tblApplications[Cluster ROKS cible (auto)],$B259,tblApplications[Mois de bascule prevu],"&lt;="&amp;EOMONTH($A259,0),tblApplications[Inclus projection O/N],"O")</f>
        <v>0</v>
      </c>
      <c r="J259" s="24">
        <f ca="1">SUMIFS(tblApplications[RAM cible ROKS],tblApplications[Cluster ROKS cible (auto)],$B259,tblApplications[Mois de bascule prevu],"&lt;="&amp;EOMONTH($A259,0),tblApplications[Inclus projection O/N],"O")</f>
        <v>0</v>
      </c>
      <c r="K259" s="25">
        <f t="shared" ca="1" si="18"/>
        <v>0</v>
      </c>
      <c r="L259" s="25">
        <f t="shared" ca="1" si="19"/>
        <v>0</v>
      </c>
      <c r="M259" s="26">
        <f t="shared" ca="1" si="20"/>
        <v>0</v>
      </c>
      <c r="N259" s="26">
        <f t="shared" ca="1" si="21"/>
        <v>0</v>
      </c>
      <c r="O259" s="22" t="str">
        <f ca="1">IF(E259=0,IF(K259&gt;0,"Cluster sans capacite provisionnee","n/a"),IF(OR(M259&gt;=Clusters_ROKS!$AC$5,N259&gt;=Clusters_ROKS!$AC$5),"Seuil depasse","OK"))</f>
        <v>OK</v>
      </c>
      <c r="P259" s="25">
        <f t="shared" ca="1" si="22"/>
        <v>0</v>
      </c>
      <c r="Q259" s="25">
        <f t="shared" ca="1" si="23"/>
        <v>0</v>
      </c>
      <c r="R259" s="24">
        <f ca="1">IF(AND(P259=0,Q259=0),0,IFERROR(MAX(ROUNDUP(P259/INDEX(tblClusters[vCPU / noeud (deduit)],MATCH($B259,tblClusters[Cluster],0)),0),ROUNDUP(Q259/INDEX(tblClusters[RAM / noeud - Go (deduit)],MATCH($B259,tblClusters[Cluster],0)),0)),"Flavor a definir"))</f>
        <v>0</v>
      </c>
    </row>
    <row r="260" spans="1:18" x14ac:dyDescent="0.2">
      <c r="A260" s="38">
        <v>46478</v>
      </c>
      <c r="B260" s="21" t="s">
        <v>197</v>
      </c>
      <c r="C260" s="28" t="str">
        <f>IFERROR(INDEX(tblClusters[Utilisation],MATCH($B260,tblClusters[Cluster],0)),"")</f>
        <v>PREZ-i</v>
      </c>
      <c r="D260" s="28" t="str">
        <f>IFERROR(INDEX(tblClusters[Type (deduit)],MATCH($B260,tblClusters[Cluster],0)),"")</f>
        <v>Dedie</v>
      </c>
      <c r="E260" s="24">
        <f>IFERROR(INDEX(tblClusters[CPU max (cores)],MATCH($B260,tblClusters[Cluster],0)),0)</f>
        <v>480</v>
      </c>
      <c r="F260" s="24">
        <f>IFERROR(INDEX(tblClusters[RAM max (Go)],MATCH($B260,tblClusters[Cluster],0)),0)</f>
        <v>1920</v>
      </c>
      <c r="G260" s="24">
        <f>IFERROR(INDEX(tblClusters[Charge existante CPU hors migration],MATCH($B260,tblClusters[Cluster],0)),0)</f>
        <v>0</v>
      </c>
      <c r="H260" s="24">
        <f>IFERROR(INDEX(tblClusters[Charge existante RAM hors migration (Go)],MATCH($B260,tblClusters[Cluster],0)),0)</f>
        <v>0</v>
      </c>
      <c r="I260" s="24">
        <f ca="1">SUMIFS(tblApplications[CPU cible ROKS],tblApplications[Cluster ROKS cible (auto)],$B260,tblApplications[Mois de bascule prevu],"&lt;="&amp;EOMONTH($A260,0),tblApplications[Inclus projection O/N],"O")</f>
        <v>0</v>
      </c>
      <c r="J260" s="24">
        <f ca="1">SUMIFS(tblApplications[RAM cible ROKS],tblApplications[Cluster ROKS cible (auto)],$B260,tblApplications[Mois de bascule prevu],"&lt;="&amp;EOMONTH($A260,0),tblApplications[Inclus projection O/N],"O")</f>
        <v>0</v>
      </c>
      <c r="K260" s="25">
        <f t="shared" ca="1" si="18"/>
        <v>0</v>
      </c>
      <c r="L260" s="25">
        <f t="shared" ca="1" si="19"/>
        <v>0</v>
      </c>
      <c r="M260" s="26">
        <f t="shared" ca="1" si="20"/>
        <v>0</v>
      </c>
      <c r="N260" s="26">
        <f t="shared" ca="1" si="21"/>
        <v>0</v>
      </c>
      <c r="O260" s="22" t="str">
        <f ca="1">IF(E260=0,IF(K260&gt;0,"Cluster sans capacite provisionnee","n/a"),IF(OR(M260&gt;=Clusters_ROKS!$AC$5,N260&gt;=Clusters_ROKS!$AC$5),"Seuil depasse","OK"))</f>
        <v>OK</v>
      </c>
      <c r="P260" s="25">
        <f t="shared" ca="1" si="22"/>
        <v>0</v>
      </c>
      <c r="Q260" s="25">
        <f t="shared" ca="1" si="23"/>
        <v>0</v>
      </c>
      <c r="R260" s="24">
        <f ca="1">IF(AND(P260=0,Q260=0),0,IFERROR(MAX(ROUNDUP(P260/INDEX(tblClusters[vCPU / noeud (deduit)],MATCH($B260,tblClusters[Cluster],0)),0),ROUNDUP(Q260/INDEX(tblClusters[RAM / noeud - Go (deduit)],MATCH($B260,tblClusters[Cluster],0)),0)),"Flavor a definir"))</f>
        <v>0</v>
      </c>
    </row>
    <row r="261" spans="1:18" x14ac:dyDescent="0.2">
      <c r="A261" s="38">
        <v>46508</v>
      </c>
      <c r="B261" s="21" t="s">
        <v>197</v>
      </c>
      <c r="C261" s="28" t="str">
        <f>IFERROR(INDEX(tblClusters[Utilisation],MATCH($B261,tblClusters[Cluster],0)),"")</f>
        <v>PREZ-i</v>
      </c>
      <c r="D261" s="28" t="str">
        <f>IFERROR(INDEX(tblClusters[Type (deduit)],MATCH($B261,tblClusters[Cluster],0)),"")</f>
        <v>Dedie</v>
      </c>
      <c r="E261" s="24">
        <f>IFERROR(INDEX(tblClusters[CPU max (cores)],MATCH($B261,tblClusters[Cluster],0)),0)</f>
        <v>480</v>
      </c>
      <c r="F261" s="24">
        <f>IFERROR(INDEX(tblClusters[RAM max (Go)],MATCH($B261,tblClusters[Cluster],0)),0)</f>
        <v>1920</v>
      </c>
      <c r="G261" s="24">
        <f>IFERROR(INDEX(tblClusters[Charge existante CPU hors migration],MATCH($B261,tblClusters[Cluster],0)),0)</f>
        <v>0</v>
      </c>
      <c r="H261" s="24">
        <f>IFERROR(INDEX(tblClusters[Charge existante RAM hors migration (Go)],MATCH($B261,tblClusters[Cluster],0)),0)</f>
        <v>0</v>
      </c>
      <c r="I261" s="24">
        <f ca="1">SUMIFS(tblApplications[CPU cible ROKS],tblApplications[Cluster ROKS cible (auto)],$B261,tblApplications[Mois de bascule prevu],"&lt;="&amp;EOMONTH($A261,0),tblApplications[Inclus projection O/N],"O")</f>
        <v>0</v>
      </c>
      <c r="J261" s="24">
        <f ca="1">SUMIFS(tblApplications[RAM cible ROKS],tblApplications[Cluster ROKS cible (auto)],$B261,tblApplications[Mois de bascule prevu],"&lt;="&amp;EOMONTH($A261,0),tblApplications[Inclus projection O/N],"O")</f>
        <v>0</v>
      </c>
      <c r="K261" s="25">
        <f t="shared" ref="K261:K324" ca="1" si="24">G261+I261</f>
        <v>0</v>
      </c>
      <c r="L261" s="25">
        <f t="shared" ref="L261:L324" ca="1" si="25">H261+J261</f>
        <v>0</v>
      </c>
      <c r="M261" s="26">
        <f t="shared" ref="M261:M324" ca="1" si="26">IF(E261=0,"",K261/E261)</f>
        <v>0</v>
      </c>
      <c r="N261" s="26">
        <f t="shared" ref="N261:N324" ca="1" si="27">IF(F261=0,"",L261/F261)</f>
        <v>0</v>
      </c>
      <c r="O261" s="22" t="str">
        <f ca="1">IF(E261=0,IF(K261&gt;0,"Cluster sans capacite provisionnee","n/a"),IF(OR(M261&gt;=Clusters_ROKS!$AC$5,N261&gt;=Clusters_ROKS!$AC$5),"Seuil depasse","OK"))</f>
        <v>OK</v>
      </c>
      <c r="P261" s="25">
        <f t="shared" ref="P261:P324" ca="1" si="28">MAX(0,K261-E261)</f>
        <v>0</v>
      </c>
      <c r="Q261" s="25">
        <f t="shared" ref="Q261:Q324" ca="1" si="29">MAX(0,L261-F261)</f>
        <v>0</v>
      </c>
      <c r="R261" s="24">
        <f ca="1">IF(AND(P261=0,Q261=0),0,IFERROR(MAX(ROUNDUP(P261/INDEX(tblClusters[vCPU / noeud (deduit)],MATCH($B261,tblClusters[Cluster],0)),0),ROUNDUP(Q261/INDEX(tblClusters[RAM / noeud - Go (deduit)],MATCH($B261,tblClusters[Cluster],0)),0)),"Flavor a definir"))</f>
        <v>0</v>
      </c>
    </row>
    <row r="262" spans="1:18" x14ac:dyDescent="0.2">
      <c r="A262" s="38">
        <v>46539</v>
      </c>
      <c r="B262" s="21" t="s">
        <v>197</v>
      </c>
      <c r="C262" s="28" t="str">
        <f>IFERROR(INDEX(tblClusters[Utilisation],MATCH($B262,tblClusters[Cluster],0)),"")</f>
        <v>PREZ-i</v>
      </c>
      <c r="D262" s="28" t="str">
        <f>IFERROR(INDEX(tblClusters[Type (deduit)],MATCH($B262,tblClusters[Cluster],0)),"")</f>
        <v>Dedie</v>
      </c>
      <c r="E262" s="24">
        <f>IFERROR(INDEX(tblClusters[CPU max (cores)],MATCH($B262,tblClusters[Cluster],0)),0)</f>
        <v>480</v>
      </c>
      <c r="F262" s="24">
        <f>IFERROR(INDEX(tblClusters[RAM max (Go)],MATCH($B262,tblClusters[Cluster],0)),0)</f>
        <v>1920</v>
      </c>
      <c r="G262" s="24">
        <f>IFERROR(INDEX(tblClusters[Charge existante CPU hors migration],MATCH($B262,tblClusters[Cluster],0)),0)</f>
        <v>0</v>
      </c>
      <c r="H262" s="24">
        <f>IFERROR(INDEX(tblClusters[Charge existante RAM hors migration (Go)],MATCH($B262,tblClusters[Cluster],0)),0)</f>
        <v>0</v>
      </c>
      <c r="I262" s="24">
        <f ca="1">SUMIFS(tblApplications[CPU cible ROKS],tblApplications[Cluster ROKS cible (auto)],$B262,tblApplications[Mois de bascule prevu],"&lt;="&amp;EOMONTH($A262,0),tblApplications[Inclus projection O/N],"O")</f>
        <v>0</v>
      </c>
      <c r="J262" s="24">
        <f ca="1">SUMIFS(tblApplications[RAM cible ROKS],tblApplications[Cluster ROKS cible (auto)],$B262,tblApplications[Mois de bascule prevu],"&lt;="&amp;EOMONTH($A262,0),tblApplications[Inclus projection O/N],"O")</f>
        <v>0</v>
      </c>
      <c r="K262" s="25">
        <f t="shared" ca="1" si="24"/>
        <v>0</v>
      </c>
      <c r="L262" s="25">
        <f t="shared" ca="1" si="25"/>
        <v>0</v>
      </c>
      <c r="M262" s="26">
        <f t="shared" ca="1" si="26"/>
        <v>0</v>
      </c>
      <c r="N262" s="26">
        <f t="shared" ca="1" si="27"/>
        <v>0</v>
      </c>
      <c r="O262" s="22" t="str">
        <f ca="1">IF(E262=0,IF(K262&gt;0,"Cluster sans capacite provisionnee","n/a"),IF(OR(M262&gt;=Clusters_ROKS!$AC$5,N262&gt;=Clusters_ROKS!$AC$5),"Seuil depasse","OK"))</f>
        <v>OK</v>
      </c>
      <c r="P262" s="25">
        <f t="shared" ca="1" si="28"/>
        <v>0</v>
      </c>
      <c r="Q262" s="25">
        <f t="shared" ca="1" si="29"/>
        <v>0</v>
      </c>
      <c r="R262" s="24">
        <f ca="1">IF(AND(P262=0,Q262=0),0,IFERROR(MAX(ROUNDUP(P262/INDEX(tblClusters[vCPU / noeud (deduit)],MATCH($B262,tblClusters[Cluster],0)),0),ROUNDUP(Q262/INDEX(tblClusters[RAM / noeud - Go (deduit)],MATCH($B262,tblClusters[Cluster],0)),0)),"Flavor a definir"))</f>
        <v>0</v>
      </c>
    </row>
    <row r="263" spans="1:18" x14ac:dyDescent="0.2">
      <c r="A263" s="38">
        <v>46569</v>
      </c>
      <c r="B263" s="21" t="s">
        <v>197</v>
      </c>
      <c r="C263" s="28" t="str">
        <f>IFERROR(INDEX(tblClusters[Utilisation],MATCH($B263,tblClusters[Cluster],0)),"")</f>
        <v>PREZ-i</v>
      </c>
      <c r="D263" s="28" t="str">
        <f>IFERROR(INDEX(tblClusters[Type (deduit)],MATCH($B263,tblClusters[Cluster],0)),"")</f>
        <v>Dedie</v>
      </c>
      <c r="E263" s="24">
        <f>IFERROR(INDEX(tblClusters[CPU max (cores)],MATCH($B263,tblClusters[Cluster],0)),0)</f>
        <v>480</v>
      </c>
      <c r="F263" s="24">
        <f>IFERROR(INDEX(tblClusters[RAM max (Go)],MATCH($B263,tblClusters[Cluster],0)),0)</f>
        <v>1920</v>
      </c>
      <c r="G263" s="24">
        <f>IFERROR(INDEX(tblClusters[Charge existante CPU hors migration],MATCH($B263,tblClusters[Cluster],0)),0)</f>
        <v>0</v>
      </c>
      <c r="H263" s="24">
        <f>IFERROR(INDEX(tblClusters[Charge existante RAM hors migration (Go)],MATCH($B263,tblClusters[Cluster],0)),0)</f>
        <v>0</v>
      </c>
      <c r="I263" s="24">
        <f ca="1">SUMIFS(tblApplications[CPU cible ROKS],tblApplications[Cluster ROKS cible (auto)],$B263,tblApplications[Mois de bascule prevu],"&lt;="&amp;EOMONTH($A263,0),tblApplications[Inclus projection O/N],"O")</f>
        <v>0</v>
      </c>
      <c r="J263" s="24">
        <f ca="1">SUMIFS(tblApplications[RAM cible ROKS],tblApplications[Cluster ROKS cible (auto)],$B263,tblApplications[Mois de bascule prevu],"&lt;="&amp;EOMONTH($A263,0),tblApplications[Inclus projection O/N],"O")</f>
        <v>0</v>
      </c>
      <c r="K263" s="25">
        <f t="shared" ca="1" si="24"/>
        <v>0</v>
      </c>
      <c r="L263" s="25">
        <f t="shared" ca="1" si="25"/>
        <v>0</v>
      </c>
      <c r="M263" s="26">
        <f t="shared" ca="1" si="26"/>
        <v>0</v>
      </c>
      <c r="N263" s="26">
        <f t="shared" ca="1" si="27"/>
        <v>0</v>
      </c>
      <c r="O263" s="22" t="str">
        <f ca="1">IF(E263=0,IF(K263&gt;0,"Cluster sans capacite provisionnee","n/a"),IF(OR(M263&gt;=Clusters_ROKS!$AC$5,N263&gt;=Clusters_ROKS!$AC$5),"Seuil depasse","OK"))</f>
        <v>OK</v>
      </c>
      <c r="P263" s="25">
        <f t="shared" ca="1" si="28"/>
        <v>0</v>
      </c>
      <c r="Q263" s="25">
        <f t="shared" ca="1" si="29"/>
        <v>0</v>
      </c>
      <c r="R263" s="24">
        <f ca="1">IF(AND(P263=0,Q263=0),0,IFERROR(MAX(ROUNDUP(P263/INDEX(tblClusters[vCPU / noeud (deduit)],MATCH($B263,tblClusters[Cluster],0)),0),ROUNDUP(Q263/INDEX(tblClusters[RAM / noeud - Go (deduit)],MATCH($B263,tblClusters[Cluster],0)),0)),"Flavor a definir"))</f>
        <v>0</v>
      </c>
    </row>
    <row r="264" spans="1:18" x14ac:dyDescent="0.2">
      <c r="A264" s="38">
        <v>46600</v>
      </c>
      <c r="B264" s="21" t="s">
        <v>197</v>
      </c>
      <c r="C264" s="28" t="str">
        <f>IFERROR(INDEX(tblClusters[Utilisation],MATCH($B264,tblClusters[Cluster],0)),"")</f>
        <v>PREZ-i</v>
      </c>
      <c r="D264" s="28" t="str">
        <f>IFERROR(INDEX(tblClusters[Type (deduit)],MATCH($B264,tblClusters[Cluster],0)),"")</f>
        <v>Dedie</v>
      </c>
      <c r="E264" s="24">
        <f>IFERROR(INDEX(tblClusters[CPU max (cores)],MATCH($B264,tblClusters[Cluster],0)),0)</f>
        <v>480</v>
      </c>
      <c r="F264" s="24">
        <f>IFERROR(INDEX(tblClusters[RAM max (Go)],MATCH($B264,tblClusters[Cluster],0)),0)</f>
        <v>1920</v>
      </c>
      <c r="G264" s="24">
        <f>IFERROR(INDEX(tblClusters[Charge existante CPU hors migration],MATCH($B264,tblClusters[Cluster],0)),0)</f>
        <v>0</v>
      </c>
      <c r="H264" s="24">
        <f>IFERROR(INDEX(tblClusters[Charge existante RAM hors migration (Go)],MATCH($B264,tblClusters[Cluster],0)),0)</f>
        <v>0</v>
      </c>
      <c r="I264" s="24">
        <f ca="1">SUMIFS(tblApplications[CPU cible ROKS],tblApplications[Cluster ROKS cible (auto)],$B264,tblApplications[Mois de bascule prevu],"&lt;="&amp;EOMONTH($A264,0),tblApplications[Inclus projection O/N],"O")</f>
        <v>0</v>
      </c>
      <c r="J264" s="24">
        <f ca="1">SUMIFS(tblApplications[RAM cible ROKS],tblApplications[Cluster ROKS cible (auto)],$B264,tblApplications[Mois de bascule prevu],"&lt;="&amp;EOMONTH($A264,0),tblApplications[Inclus projection O/N],"O")</f>
        <v>0</v>
      </c>
      <c r="K264" s="25">
        <f t="shared" ca="1" si="24"/>
        <v>0</v>
      </c>
      <c r="L264" s="25">
        <f t="shared" ca="1" si="25"/>
        <v>0</v>
      </c>
      <c r="M264" s="26">
        <f t="shared" ca="1" si="26"/>
        <v>0</v>
      </c>
      <c r="N264" s="26">
        <f t="shared" ca="1" si="27"/>
        <v>0</v>
      </c>
      <c r="O264" s="22" t="str">
        <f ca="1">IF(E264=0,IF(K264&gt;0,"Cluster sans capacite provisionnee","n/a"),IF(OR(M264&gt;=Clusters_ROKS!$AC$5,N264&gt;=Clusters_ROKS!$AC$5),"Seuil depasse","OK"))</f>
        <v>OK</v>
      </c>
      <c r="P264" s="25">
        <f t="shared" ca="1" si="28"/>
        <v>0</v>
      </c>
      <c r="Q264" s="25">
        <f t="shared" ca="1" si="29"/>
        <v>0</v>
      </c>
      <c r="R264" s="24">
        <f ca="1">IF(AND(P264=0,Q264=0),0,IFERROR(MAX(ROUNDUP(P264/INDEX(tblClusters[vCPU / noeud (deduit)],MATCH($B264,tblClusters[Cluster],0)),0),ROUNDUP(Q264/INDEX(tblClusters[RAM / noeud - Go (deduit)],MATCH($B264,tblClusters[Cluster],0)),0)),"Flavor a definir"))</f>
        <v>0</v>
      </c>
    </row>
    <row r="265" spans="1:18" x14ac:dyDescent="0.2">
      <c r="A265" s="38">
        <v>46631</v>
      </c>
      <c r="B265" s="21" t="s">
        <v>197</v>
      </c>
      <c r="C265" s="28" t="str">
        <f>IFERROR(INDEX(tblClusters[Utilisation],MATCH($B265,tblClusters[Cluster],0)),"")</f>
        <v>PREZ-i</v>
      </c>
      <c r="D265" s="28" t="str">
        <f>IFERROR(INDEX(tblClusters[Type (deduit)],MATCH($B265,tblClusters[Cluster],0)),"")</f>
        <v>Dedie</v>
      </c>
      <c r="E265" s="24">
        <f>IFERROR(INDEX(tblClusters[CPU max (cores)],MATCH($B265,tblClusters[Cluster],0)),0)</f>
        <v>480</v>
      </c>
      <c r="F265" s="24">
        <f>IFERROR(INDEX(tblClusters[RAM max (Go)],MATCH($B265,tblClusters[Cluster],0)),0)</f>
        <v>1920</v>
      </c>
      <c r="G265" s="24">
        <f>IFERROR(INDEX(tblClusters[Charge existante CPU hors migration],MATCH($B265,tblClusters[Cluster],0)),0)</f>
        <v>0</v>
      </c>
      <c r="H265" s="24">
        <f>IFERROR(INDEX(tblClusters[Charge existante RAM hors migration (Go)],MATCH($B265,tblClusters[Cluster],0)),0)</f>
        <v>0</v>
      </c>
      <c r="I265" s="24">
        <f ca="1">SUMIFS(tblApplications[CPU cible ROKS],tblApplications[Cluster ROKS cible (auto)],$B265,tblApplications[Mois de bascule prevu],"&lt;="&amp;EOMONTH($A265,0),tblApplications[Inclus projection O/N],"O")</f>
        <v>0</v>
      </c>
      <c r="J265" s="24">
        <f ca="1">SUMIFS(tblApplications[RAM cible ROKS],tblApplications[Cluster ROKS cible (auto)],$B265,tblApplications[Mois de bascule prevu],"&lt;="&amp;EOMONTH($A265,0),tblApplications[Inclus projection O/N],"O")</f>
        <v>0</v>
      </c>
      <c r="K265" s="25">
        <f t="shared" ca="1" si="24"/>
        <v>0</v>
      </c>
      <c r="L265" s="25">
        <f t="shared" ca="1" si="25"/>
        <v>0</v>
      </c>
      <c r="M265" s="26">
        <f t="shared" ca="1" si="26"/>
        <v>0</v>
      </c>
      <c r="N265" s="26">
        <f t="shared" ca="1" si="27"/>
        <v>0</v>
      </c>
      <c r="O265" s="22" t="str">
        <f ca="1">IF(E265=0,IF(K265&gt;0,"Cluster sans capacite provisionnee","n/a"),IF(OR(M265&gt;=Clusters_ROKS!$AC$5,N265&gt;=Clusters_ROKS!$AC$5),"Seuil depasse","OK"))</f>
        <v>OK</v>
      </c>
      <c r="P265" s="25">
        <f t="shared" ca="1" si="28"/>
        <v>0</v>
      </c>
      <c r="Q265" s="25">
        <f t="shared" ca="1" si="29"/>
        <v>0</v>
      </c>
      <c r="R265" s="24">
        <f ca="1">IF(AND(P265=0,Q265=0),0,IFERROR(MAX(ROUNDUP(P265/INDEX(tblClusters[vCPU / noeud (deduit)],MATCH($B265,tblClusters[Cluster],0)),0),ROUNDUP(Q265/INDEX(tblClusters[RAM / noeud - Go (deduit)],MATCH($B265,tblClusters[Cluster],0)),0)),"Flavor a definir"))</f>
        <v>0</v>
      </c>
    </row>
    <row r="266" spans="1:18" x14ac:dyDescent="0.2">
      <c r="A266" s="38">
        <v>46661</v>
      </c>
      <c r="B266" s="21" t="s">
        <v>197</v>
      </c>
      <c r="C266" s="28" t="str">
        <f>IFERROR(INDEX(tblClusters[Utilisation],MATCH($B266,tblClusters[Cluster],0)),"")</f>
        <v>PREZ-i</v>
      </c>
      <c r="D266" s="28" t="str">
        <f>IFERROR(INDEX(tblClusters[Type (deduit)],MATCH($B266,tblClusters[Cluster],0)),"")</f>
        <v>Dedie</v>
      </c>
      <c r="E266" s="24">
        <f>IFERROR(INDEX(tblClusters[CPU max (cores)],MATCH($B266,tblClusters[Cluster],0)),0)</f>
        <v>480</v>
      </c>
      <c r="F266" s="24">
        <f>IFERROR(INDEX(tblClusters[RAM max (Go)],MATCH($B266,tblClusters[Cluster],0)),0)</f>
        <v>1920</v>
      </c>
      <c r="G266" s="24">
        <f>IFERROR(INDEX(tblClusters[Charge existante CPU hors migration],MATCH($B266,tblClusters[Cluster],0)),0)</f>
        <v>0</v>
      </c>
      <c r="H266" s="24">
        <f>IFERROR(INDEX(tblClusters[Charge existante RAM hors migration (Go)],MATCH($B266,tblClusters[Cluster],0)),0)</f>
        <v>0</v>
      </c>
      <c r="I266" s="24">
        <f ca="1">SUMIFS(tblApplications[CPU cible ROKS],tblApplications[Cluster ROKS cible (auto)],$B266,tblApplications[Mois de bascule prevu],"&lt;="&amp;EOMONTH($A266,0),tblApplications[Inclus projection O/N],"O")</f>
        <v>0</v>
      </c>
      <c r="J266" s="24">
        <f ca="1">SUMIFS(tblApplications[RAM cible ROKS],tblApplications[Cluster ROKS cible (auto)],$B266,tblApplications[Mois de bascule prevu],"&lt;="&amp;EOMONTH($A266,0),tblApplications[Inclus projection O/N],"O")</f>
        <v>0</v>
      </c>
      <c r="K266" s="25">
        <f t="shared" ca="1" si="24"/>
        <v>0</v>
      </c>
      <c r="L266" s="25">
        <f t="shared" ca="1" si="25"/>
        <v>0</v>
      </c>
      <c r="M266" s="26">
        <f t="shared" ca="1" si="26"/>
        <v>0</v>
      </c>
      <c r="N266" s="26">
        <f t="shared" ca="1" si="27"/>
        <v>0</v>
      </c>
      <c r="O266" s="22" t="str">
        <f ca="1">IF(E266=0,IF(K266&gt;0,"Cluster sans capacite provisionnee","n/a"),IF(OR(M266&gt;=Clusters_ROKS!$AC$5,N266&gt;=Clusters_ROKS!$AC$5),"Seuil depasse","OK"))</f>
        <v>OK</v>
      </c>
      <c r="P266" s="25">
        <f t="shared" ca="1" si="28"/>
        <v>0</v>
      </c>
      <c r="Q266" s="25">
        <f t="shared" ca="1" si="29"/>
        <v>0</v>
      </c>
      <c r="R266" s="24">
        <f ca="1">IF(AND(P266=0,Q266=0),0,IFERROR(MAX(ROUNDUP(P266/INDEX(tblClusters[vCPU / noeud (deduit)],MATCH($B266,tblClusters[Cluster],0)),0),ROUNDUP(Q266/INDEX(tblClusters[RAM / noeud - Go (deduit)],MATCH($B266,tblClusters[Cluster],0)),0)),"Flavor a definir"))</f>
        <v>0</v>
      </c>
    </row>
    <row r="267" spans="1:18" x14ac:dyDescent="0.2">
      <c r="A267" s="38">
        <v>46692</v>
      </c>
      <c r="B267" s="21" t="s">
        <v>197</v>
      </c>
      <c r="C267" s="28" t="str">
        <f>IFERROR(INDEX(tblClusters[Utilisation],MATCH($B267,tblClusters[Cluster],0)),"")</f>
        <v>PREZ-i</v>
      </c>
      <c r="D267" s="28" t="str">
        <f>IFERROR(INDEX(tblClusters[Type (deduit)],MATCH($B267,tblClusters[Cluster],0)),"")</f>
        <v>Dedie</v>
      </c>
      <c r="E267" s="24">
        <f>IFERROR(INDEX(tblClusters[CPU max (cores)],MATCH($B267,tblClusters[Cluster],0)),0)</f>
        <v>480</v>
      </c>
      <c r="F267" s="24">
        <f>IFERROR(INDEX(tblClusters[RAM max (Go)],MATCH($B267,tblClusters[Cluster],0)),0)</f>
        <v>1920</v>
      </c>
      <c r="G267" s="24">
        <f>IFERROR(INDEX(tblClusters[Charge existante CPU hors migration],MATCH($B267,tblClusters[Cluster],0)),0)</f>
        <v>0</v>
      </c>
      <c r="H267" s="24">
        <f>IFERROR(INDEX(tblClusters[Charge existante RAM hors migration (Go)],MATCH($B267,tblClusters[Cluster],0)),0)</f>
        <v>0</v>
      </c>
      <c r="I267" s="24">
        <f ca="1">SUMIFS(tblApplications[CPU cible ROKS],tblApplications[Cluster ROKS cible (auto)],$B267,tblApplications[Mois de bascule prevu],"&lt;="&amp;EOMONTH($A267,0),tblApplications[Inclus projection O/N],"O")</f>
        <v>0</v>
      </c>
      <c r="J267" s="24">
        <f ca="1">SUMIFS(tblApplications[RAM cible ROKS],tblApplications[Cluster ROKS cible (auto)],$B267,tblApplications[Mois de bascule prevu],"&lt;="&amp;EOMONTH($A267,0),tblApplications[Inclus projection O/N],"O")</f>
        <v>0</v>
      </c>
      <c r="K267" s="25">
        <f t="shared" ca="1" si="24"/>
        <v>0</v>
      </c>
      <c r="L267" s="25">
        <f t="shared" ca="1" si="25"/>
        <v>0</v>
      </c>
      <c r="M267" s="26">
        <f t="shared" ca="1" si="26"/>
        <v>0</v>
      </c>
      <c r="N267" s="26">
        <f t="shared" ca="1" si="27"/>
        <v>0</v>
      </c>
      <c r="O267" s="22" t="str">
        <f ca="1">IF(E267=0,IF(K267&gt;0,"Cluster sans capacite provisionnee","n/a"),IF(OR(M267&gt;=Clusters_ROKS!$AC$5,N267&gt;=Clusters_ROKS!$AC$5),"Seuil depasse","OK"))</f>
        <v>OK</v>
      </c>
      <c r="P267" s="25">
        <f t="shared" ca="1" si="28"/>
        <v>0</v>
      </c>
      <c r="Q267" s="25">
        <f t="shared" ca="1" si="29"/>
        <v>0</v>
      </c>
      <c r="R267" s="24">
        <f ca="1">IF(AND(P267=0,Q267=0),0,IFERROR(MAX(ROUNDUP(P267/INDEX(tblClusters[vCPU / noeud (deduit)],MATCH($B267,tblClusters[Cluster],0)),0),ROUNDUP(Q267/INDEX(tblClusters[RAM / noeud - Go (deduit)],MATCH($B267,tblClusters[Cluster],0)),0)),"Flavor a definir"))</f>
        <v>0</v>
      </c>
    </row>
    <row r="268" spans="1:18" x14ac:dyDescent="0.2">
      <c r="A268" s="38">
        <v>46722</v>
      </c>
      <c r="B268" s="21" t="s">
        <v>197</v>
      </c>
      <c r="C268" s="28" t="str">
        <f>IFERROR(INDEX(tblClusters[Utilisation],MATCH($B268,tblClusters[Cluster],0)),"")</f>
        <v>PREZ-i</v>
      </c>
      <c r="D268" s="28" t="str">
        <f>IFERROR(INDEX(tblClusters[Type (deduit)],MATCH($B268,tblClusters[Cluster],0)),"")</f>
        <v>Dedie</v>
      </c>
      <c r="E268" s="24">
        <f>IFERROR(INDEX(tblClusters[CPU max (cores)],MATCH($B268,tblClusters[Cluster],0)),0)</f>
        <v>480</v>
      </c>
      <c r="F268" s="24">
        <f>IFERROR(INDEX(tblClusters[RAM max (Go)],MATCH($B268,tblClusters[Cluster],0)),0)</f>
        <v>1920</v>
      </c>
      <c r="G268" s="24">
        <f>IFERROR(INDEX(tblClusters[Charge existante CPU hors migration],MATCH($B268,tblClusters[Cluster],0)),0)</f>
        <v>0</v>
      </c>
      <c r="H268" s="24">
        <f>IFERROR(INDEX(tblClusters[Charge existante RAM hors migration (Go)],MATCH($B268,tblClusters[Cluster],0)),0)</f>
        <v>0</v>
      </c>
      <c r="I268" s="24">
        <f ca="1">SUMIFS(tblApplications[CPU cible ROKS],tblApplications[Cluster ROKS cible (auto)],$B268,tblApplications[Mois de bascule prevu],"&lt;="&amp;EOMONTH($A268,0),tblApplications[Inclus projection O/N],"O")</f>
        <v>0</v>
      </c>
      <c r="J268" s="24">
        <f ca="1">SUMIFS(tblApplications[RAM cible ROKS],tblApplications[Cluster ROKS cible (auto)],$B268,tblApplications[Mois de bascule prevu],"&lt;="&amp;EOMONTH($A268,0),tblApplications[Inclus projection O/N],"O")</f>
        <v>0</v>
      </c>
      <c r="K268" s="25">
        <f t="shared" ca="1" si="24"/>
        <v>0</v>
      </c>
      <c r="L268" s="25">
        <f t="shared" ca="1" si="25"/>
        <v>0</v>
      </c>
      <c r="M268" s="26">
        <f t="shared" ca="1" si="26"/>
        <v>0</v>
      </c>
      <c r="N268" s="26">
        <f t="shared" ca="1" si="27"/>
        <v>0</v>
      </c>
      <c r="O268" s="22" t="str">
        <f ca="1">IF(E268=0,IF(K268&gt;0,"Cluster sans capacite provisionnee","n/a"),IF(OR(M268&gt;=Clusters_ROKS!$AC$5,N268&gt;=Clusters_ROKS!$AC$5),"Seuil depasse","OK"))</f>
        <v>OK</v>
      </c>
      <c r="P268" s="25">
        <f t="shared" ca="1" si="28"/>
        <v>0</v>
      </c>
      <c r="Q268" s="25">
        <f t="shared" ca="1" si="29"/>
        <v>0</v>
      </c>
      <c r="R268" s="24">
        <f ca="1">IF(AND(P268=0,Q268=0),0,IFERROR(MAX(ROUNDUP(P268/INDEX(tblClusters[vCPU / noeud (deduit)],MATCH($B268,tblClusters[Cluster],0)),0),ROUNDUP(Q268/INDEX(tblClusters[RAM / noeud - Go (deduit)],MATCH($B268,tblClusters[Cluster],0)),0)),"Flavor a definir"))</f>
        <v>0</v>
      </c>
    </row>
    <row r="269" spans="1:18" x14ac:dyDescent="0.2">
      <c r="A269" s="38">
        <v>46388</v>
      </c>
      <c r="B269" s="21" t="s">
        <v>199</v>
      </c>
      <c r="C269" s="28" t="str">
        <f>IFERROR(INDEX(tblClusters[Utilisation],MATCH($B269,tblClusters[Cluster],0)),"")</f>
        <v>PREZ-i</v>
      </c>
      <c r="D269" s="28" t="str">
        <f>IFERROR(INDEX(tblClusters[Type (deduit)],MATCH($B269,tblClusters[Cluster],0)),"")</f>
        <v>Dedie</v>
      </c>
      <c r="E269" s="24">
        <f>IFERROR(INDEX(tblClusters[CPU max (cores)],MATCH($B269,tblClusters[Cluster],0)),0)</f>
        <v>48</v>
      </c>
      <c r="F269" s="24">
        <f>IFERROR(INDEX(tblClusters[RAM max (Go)],MATCH($B269,tblClusters[Cluster],0)),0)</f>
        <v>192</v>
      </c>
      <c r="G269" s="24">
        <f>IFERROR(INDEX(tblClusters[Charge existante CPU hors migration],MATCH($B269,tblClusters[Cluster],0)),0)</f>
        <v>0</v>
      </c>
      <c r="H269" s="24">
        <f>IFERROR(INDEX(tblClusters[Charge existante RAM hors migration (Go)],MATCH($B269,tblClusters[Cluster],0)),0)</f>
        <v>0</v>
      </c>
      <c r="I269" s="24">
        <f ca="1">SUMIFS(tblApplications[CPU cible ROKS],tblApplications[Cluster ROKS cible (auto)],$B269,tblApplications[Mois de bascule prevu],"&lt;="&amp;EOMONTH($A269,0),tblApplications[Inclus projection O/N],"O")</f>
        <v>0</v>
      </c>
      <c r="J269" s="24">
        <f ca="1">SUMIFS(tblApplications[RAM cible ROKS],tblApplications[Cluster ROKS cible (auto)],$B269,tblApplications[Mois de bascule prevu],"&lt;="&amp;EOMONTH($A269,0),tblApplications[Inclus projection O/N],"O")</f>
        <v>0</v>
      </c>
      <c r="K269" s="25">
        <f t="shared" ca="1" si="24"/>
        <v>0</v>
      </c>
      <c r="L269" s="25">
        <f t="shared" ca="1" si="25"/>
        <v>0</v>
      </c>
      <c r="M269" s="26">
        <f t="shared" ca="1" si="26"/>
        <v>0</v>
      </c>
      <c r="N269" s="26">
        <f t="shared" ca="1" si="27"/>
        <v>0</v>
      </c>
      <c r="O269" s="22" t="str">
        <f ca="1">IF(E269=0,IF(K269&gt;0,"Cluster sans capacite provisionnee","n/a"),IF(OR(M269&gt;=Clusters_ROKS!$AC$5,N269&gt;=Clusters_ROKS!$AC$5),"Seuil depasse","OK"))</f>
        <v>OK</v>
      </c>
      <c r="P269" s="25">
        <f t="shared" ca="1" si="28"/>
        <v>0</v>
      </c>
      <c r="Q269" s="25">
        <f t="shared" ca="1" si="29"/>
        <v>0</v>
      </c>
      <c r="R269" s="24">
        <f ca="1">IF(AND(P269=0,Q269=0),0,IFERROR(MAX(ROUNDUP(P269/INDEX(tblClusters[vCPU / noeud (deduit)],MATCH($B269,tblClusters[Cluster],0)),0),ROUNDUP(Q269/INDEX(tblClusters[RAM / noeud - Go (deduit)],MATCH($B269,tblClusters[Cluster],0)),0)),"Flavor a definir"))</f>
        <v>0</v>
      </c>
    </row>
    <row r="270" spans="1:18" x14ac:dyDescent="0.2">
      <c r="A270" s="38">
        <v>46419</v>
      </c>
      <c r="B270" s="21" t="s">
        <v>199</v>
      </c>
      <c r="C270" s="28" t="str">
        <f>IFERROR(INDEX(tblClusters[Utilisation],MATCH($B270,tblClusters[Cluster],0)),"")</f>
        <v>PREZ-i</v>
      </c>
      <c r="D270" s="28" t="str">
        <f>IFERROR(INDEX(tblClusters[Type (deduit)],MATCH($B270,tblClusters[Cluster],0)),"")</f>
        <v>Dedie</v>
      </c>
      <c r="E270" s="24">
        <f>IFERROR(INDEX(tblClusters[CPU max (cores)],MATCH($B270,tblClusters[Cluster],0)),0)</f>
        <v>48</v>
      </c>
      <c r="F270" s="24">
        <f>IFERROR(INDEX(tblClusters[RAM max (Go)],MATCH($B270,tblClusters[Cluster],0)),0)</f>
        <v>192</v>
      </c>
      <c r="G270" s="24">
        <f>IFERROR(INDEX(tblClusters[Charge existante CPU hors migration],MATCH($B270,tblClusters[Cluster],0)),0)</f>
        <v>0</v>
      </c>
      <c r="H270" s="24">
        <f>IFERROR(INDEX(tblClusters[Charge existante RAM hors migration (Go)],MATCH($B270,tblClusters[Cluster],0)),0)</f>
        <v>0</v>
      </c>
      <c r="I270" s="24">
        <f ca="1">SUMIFS(tblApplications[CPU cible ROKS],tblApplications[Cluster ROKS cible (auto)],$B270,tblApplications[Mois de bascule prevu],"&lt;="&amp;EOMONTH($A270,0),tblApplications[Inclus projection O/N],"O")</f>
        <v>0</v>
      </c>
      <c r="J270" s="24">
        <f ca="1">SUMIFS(tblApplications[RAM cible ROKS],tblApplications[Cluster ROKS cible (auto)],$B270,tblApplications[Mois de bascule prevu],"&lt;="&amp;EOMONTH($A270,0),tblApplications[Inclus projection O/N],"O")</f>
        <v>0</v>
      </c>
      <c r="K270" s="25">
        <f t="shared" ca="1" si="24"/>
        <v>0</v>
      </c>
      <c r="L270" s="25">
        <f t="shared" ca="1" si="25"/>
        <v>0</v>
      </c>
      <c r="M270" s="26">
        <f t="shared" ca="1" si="26"/>
        <v>0</v>
      </c>
      <c r="N270" s="26">
        <f t="shared" ca="1" si="27"/>
        <v>0</v>
      </c>
      <c r="O270" s="22" t="str">
        <f ca="1">IF(E270=0,IF(K270&gt;0,"Cluster sans capacite provisionnee","n/a"),IF(OR(M270&gt;=Clusters_ROKS!$AC$5,N270&gt;=Clusters_ROKS!$AC$5),"Seuil depasse","OK"))</f>
        <v>OK</v>
      </c>
      <c r="P270" s="25">
        <f t="shared" ca="1" si="28"/>
        <v>0</v>
      </c>
      <c r="Q270" s="25">
        <f t="shared" ca="1" si="29"/>
        <v>0</v>
      </c>
      <c r="R270" s="24">
        <f ca="1">IF(AND(P270=0,Q270=0),0,IFERROR(MAX(ROUNDUP(P270/INDEX(tblClusters[vCPU / noeud (deduit)],MATCH($B270,tblClusters[Cluster],0)),0),ROUNDUP(Q270/INDEX(tblClusters[RAM / noeud - Go (deduit)],MATCH($B270,tblClusters[Cluster],0)),0)),"Flavor a definir"))</f>
        <v>0</v>
      </c>
    </row>
    <row r="271" spans="1:18" x14ac:dyDescent="0.2">
      <c r="A271" s="38">
        <v>46447</v>
      </c>
      <c r="B271" s="21" t="s">
        <v>199</v>
      </c>
      <c r="C271" s="28" t="str">
        <f>IFERROR(INDEX(tblClusters[Utilisation],MATCH($B271,tblClusters[Cluster],0)),"")</f>
        <v>PREZ-i</v>
      </c>
      <c r="D271" s="28" t="str">
        <f>IFERROR(INDEX(tblClusters[Type (deduit)],MATCH($B271,tblClusters[Cluster],0)),"")</f>
        <v>Dedie</v>
      </c>
      <c r="E271" s="24">
        <f>IFERROR(INDEX(tblClusters[CPU max (cores)],MATCH($B271,tblClusters[Cluster],0)),0)</f>
        <v>48</v>
      </c>
      <c r="F271" s="24">
        <f>IFERROR(INDEX(tblClusters[RAM max (Go)],MATCH($B271,tblClusters[Cluster],0)),0)</f>
        <v>192</v>
      </c>
      <c r="G271" s="24">
        <f>IFERROR(INDEX(tblClusters[Charge existante CPU hors migration],MATCH($B271,tblClusters[Cluster],0)),0)</f>
        <v>0</v>
      </c>
      <c r="H271" s="24">
        <f>IFERROR(INDEX(tblClusters[Charge existante RAM hors migration (Go)],MATCH($B271,tblClusters[Cluster],0)),0)</f>
        <v>0</v>
      </c>
      <c r="I271" s="24">
        <f ca="1">SUMIFS(tblApplications[CPU cible ROKS],tblApplications[Cluster ROKS cible (auto)],$B271,tblApplications[Mois de bascule prevu],"&lt;="&amp;EOMONTH($A271,0),tblApplications[Inclus projection O/N],"O")</f>
        <v>0</v>
      </c>
      <c r="J271" s="24">
        <f ca="1">SUMIFS(tblApplications[RAM cible ROKS],tblApplications[Cluster ROKS cible (auto)],$B271,tblApplications[Mois de bascule prevu],"&lt;="&amp;EOMONTH($A271,0),tblApplications[Inclus projection O/N],"O")</f>
        <v>0</v>
      </c>
      <c r="K271" s="25">
        <f t="shared" ca="1" si="24"/>
        <v>0</v>
      </c>
      <c r="L271" s="25">
        <f t="shared" ca="1" si="25"/>
        <v>0</v>
      </c>
      <c r="M271" s="26">
        <f t="shared" ca="1" si="26"/>
        <v>0</v>
      </c>
      <c r="N271" s="26">
        <f t="shared" ca="1" si="27"/>
        <v>0</v>
      </c>
      <c r="O271" s="22" t="str">
        <f ca="1">IF(E271=0,IF(K271&gt;0,"Cluster sans capacite provisionnee","n/a"),IF(OR(M271&gt;=Clusters_ROKS!$AC$5,N271&gt;=Clusters_ROKS!$AC$5),"Seuil depasse","OK"))</f>
        <v>OK</v>
      </c>
      <c r="P271" s="25">
        <f t="shared" ca="1" si="28"/>
        <v>0</v>
      </c>
      <c r="Q271" s="25">
        <f t="shared" ca="1" si="29"/>
        <v>0</v>
      </c>
      <c r="R271" s="24">
        <f ca="1">IF(AND(P271=0,Q271=0),0,IFERROR(MAX(ROUNDUP(P271/INDEX(tblClusters[vCPU / noeud (deduit)],MATCH($B271,tblClusters[Cluster],0)),0),ROUNDUP(Q271/INDEX(tblClusters[RAM / noeud - Go (deduit)],MATCH($B271,tblClusters[Cluster],0)),0)),"Flavor a definir"))</f>
        <v>0</v>
      </c>
    </row>
    <row r="272" spans="1:18" x14ac:dyDescent="0.2">
      <c r="A272" s="38">
        <v>46478</v>
      </c>
      <c r="B272" s="21" t="s">
        <v>199</v>
      </c>
      <c r="C272" s="28" t="str">
        <f>IFERROR(INDEX(tblClusters[Utilisation],MATCH($B272,tblClusters[Cluster],0)),"")</f>
        <v>PREZ-i</v>
      </c>
      <c r="D272" s="28" t="str">
        <f>IFERROR(INDEX(tblClusters[Type (deduit)],MATCH($B272,tblClusters[Cluster],0)),"")</f>
        <v>Dedie</v>
      </c>
      <c r="E272" s="24">
        <f>IFERROR(INDEX(tblClusters[CPU max (cores)],MATCH($B272,tblClusters[Cluster],0)),0)</f>
        <v>48</v>
      </c>
      <c r="F272" s="24">
        <f>IFERROR(INDEX(tblClusters[RAM max (Go)],MATCH($B272,tblClusters[Cluster],0)),0)</f>
        <v>192</v>
      </c>
      <c r="G272" s="24">
        <f>IFERROR(INDEX(tblClusters[Charge existante CPU hors migration],MATCH($B272,tblClusters[Cluster],0)),0)</f>
        <v>0</v>
      </c>
      <c r="H272" s="24">
        <f>IFERROR(INDEX(tblClusters[Charge existante RAM hors migration (Go)],MATCH($B272,tblClusters[Cluster],0)),0)</f>
        <v>0</v>
      </c>
      <c r="I272" s="24">
        <f ca="1">SUMIFS(tblApplications[CPU cible ROKS],tblApplications[Cluster ROKS cible (auto)],$B272,tblApplications[Mois de bascule prevu],"&lt;="&amp;EOMONTH($A272,0),tblApplications[Inclus projection O/N],"O")</f>
        <v>0</v>
      </c>
      <c r="J272" s="24">
        <f ca="1">SUMIFS(tblApplications[RAM cible ROKS],tblApplications[Cluster ROKS cible (auto)],$B272,tblApplications[Mois de bascule prevu],"&lt;="&amp;EOMONTH($A272,0),tblApplications[Inclus projection O/N],"O")</f>
        <v>0</v>
      </c>
      <c r="K272" s="25">
        <f t="shared" ca="1" si="24"/>
        <v>0</v>
      </c>
      <c r="L272" s="25">
        <f t="shared" ca="1" si="25"/>
        <v>0</v>
      </c>
      <c r="M272" s="26">
        <f t="shared" ca="1" si="26"/>
        <v>0</v>
      </c>
      <c r="N272" s="26">
        <f t="shared" ca="1" si="27"/>
        <v>0</v>
      </c>
      <c r="O272" s="22" t="str">
        <f ca="1">IF(E272=0,IF(K272&gt;0,"Cluster sans capacite provisionnee","n/a"),IF(OR(M272&gt;=Clusters_ROKS!$AC$5,N272&gt;=Clusters_ROKS!$AC$5),"Seuil depasse","OK"))</f>
        <v>OK</v>
      </c>
      <c r="P272" s="25">
        <f t="shared" ca="1" si="28"/>
        <v>0</v>
      </c>
      <c r="Q272" s="25">
        <f t="shared" ca="1" si="29"/>
        <v>0</v>
      </c>
      <c r="R272" s="24">
        <f ca="1">IF(AND(P272=0,Q272=0),0,IFERROR(MAX(ROUNDUP(P272/INDEX(tblClusters[vCPU / noeud (deduit)],MATCH($B272,tblClusters[Cluster],0)),0),ROUNDUP(Q272/INDEX(tblClusters[RAM / noeud - Go (deduit)],MATCH($B272,tblClusters[Cluster],0)),0)),"Flavor a definir"))</f>
        <v>0</v>
      </c>
    </row>
    <row r="273" spans="1:18" x14ac:dyDescent="0.2">
      <c r="A273" s="38">
        <v>46508</v>
      </c>
      <c r="B273" s="21" t="s">
        <v>199</v>
      </c>
      <c r="C273" s="28" t="str">
        <f>IFERROR(INDEX(tblClusters[Utilisation],MATCH($B273,tblClusters[Cluster],0)),"")</f>
        <v>PREZ-i</v>
      </c>
      <c r="D273" s="28" t="str">
        <f>IFERROR(INDEX(tblClusters[Type (deduit)],MATCH($B273,tblClusters[Cluster],0)),"")</f>
        <v>Dedie</v>
      </c>
      <c r="E273" s="24">
        <f>IFERROR(INDEX(tblClusters[CPU max (cores)],MATCH($B273,tblClusters[Cluster],0)),0)</f>
        <v>48</v>
      </c>
      <c r="F273" s="24">
        <f>IFERROR(INDEX(tblClusters[RAM max (Go)],MATCH($B273,tblClusters[Cluster],0)),0)</f>
        <v>192</v>
      </c>
      <c r="G273" s="24">
        <f>IFERROR(INDEX(tblClusters[Charge existante CPU hors migration],MATCH($B273,tblClusters[Cluster],0)),0)</f>
        <v>0</v>
      </c>
      <c r="H273" s="24">
        <f>IFERROR(INDEX(tblClusters[Charge existante RAM hors migration (Go)],MATCH($B273,tblClusters[Cluster],0)),0)</f>
        <v>0</v>
      </c>
      <c r="I273" s="24">
        <f ca="1">SUMIFS(tblApplications[CPU cible ROKS],tblApplications[Cluster ROKS cible (auto)],$B273,tblApplications[Mois de bascule prevu],"&lt;="&amp;EOMONTH($A273,0),tblApplications[Inclus projection O/N],"O")</f>
        <v>0</v>
      </c>
      <c r="J273" s="24">
        <f ca="1">SUMIFS(tblApplications[RAM cible ROKS],tblApplications[Cluster ROKS cible (auto)],$B273,tblApplications[Mois de bascule prevu],"&lt;="&amp;EOMONTH($A273,0),tblApplications[Inclus projection O/N],"O")</f>
        <v>0</v>
      </c>
      <c r="K273" s="25">
        <f t="shared" ca="1" si="24"/>
        <v>0</v>
      </c>
      <c r="L273" s="25">
        <f t="shared" ca="1" si="25"/>
        <v>0</v>
      </c>
      <c r="M273" s="26">
        <f t="shared" ca="1" si="26"/>
        <v>0</v>
      </c>
      <c r="N273" s="26">
        <f t="shared" ca="1" si="27"/>
        <v>0</v>
      </c>
      <c r="O273" s="22" t="str">
        <f ca="1">IF(E273=0,IF(K273&gt;0,"Cluster sans capacite provisionnee","n/a"),IF(OR(M273&gt;=Clusters_ROKS!$AC$5,N273&gt;=Clusters_ROKS!$AC$5),"Seuil depasse","OK"))</f>
        <v>OK</v>
      </c>
      <c r="P273" s="25">
        <f t="shared" ca="1" si="28"/>
        <v>0</v>
      </c>
      <c r="Q273" s="25">
        <f t="shared" ca="1" si="29"/>
        <v>0</v>
      </c>
      <c r="R273" s="24">
        <f ca="1">IF(AND(P273=0,Q273=0),0,IFERROR(MAX(ROUNDUP(P273/INDEX(tblClusters[vCPU / noeud (deduit)],MATCH($B273,tblClusters[Cluster],0)),0),ROUNDUP(Q273/INDEX(tblClusters[RAM / noeud - Go (deduit)],MATCH($B273,tblClusters[Cluster],0)),0)),"Flavor a definir"))</f>
        <v>0</v>
      </c>
    </row>
    <row r="274" spans="1:18" x14ac:dyDescent="0.2">
      <c r="A274" s="38">
        <v>46539</v>
      </c>
      <c r="B274" s="21" t="s">
        <v>199</v>
      </c>
      <c r="C274" s="28" t="str">
        <f>IFERROR(INDEX(tblClusters[Utilisation],MATCH($B274,tblClusters[Cluster],0)),"")</f>
        <v>PREZ-i</v>
      </c>
      <c r="D274" s="28" t="str">
        <f>IFERROR(INDEX(tblClusters[Type (deduit)],MATCH($B274,tblClusters[Cluster],0)),"")</f>
        <v>Dedie</v>
      </c>
      <c r="E274" s="24">
        <f>IFERROR(INDEX(tblClusters[CPU max (cores)],MATCH($B274,tblClusters[Cluster],0)),0)</f>
        <v>48</v>
      </c>
      <c r="F274" s="24">
        <f>IFERROR(INDEX(tblClusters[RAM max (Go)],MATCH($B274,tblClusters[Cluster],0)),0)</f>
        <v>192</v>
      </c>
      <c r="G274" s="24">
        <f>IFERROR(INDEX(tblClusters[Charge existante CPU hors migration],MATCH($B274,tblClusters[Cluster],0)),0)</f>
        <v>0</v>
      </c>
      <c r="H274" s="24">
        <f>IFERROR(INDEX(tblClusters[Charge existante RAM hors migration (Go)],MATCH($B274,tblClusters[Cluster],0)),0)</f>
        <v>0</v>
      </c>
      <c r="I274" s="24">
        <f ca="1">SUMIFS(tblApplications[CPU cible ROKS],tblApplications[Cluster ROKS cible (auto)],$B274,tblApplications[Mois de bascule prevu],"&lt;="&amp;EOMONTH($A274,0),tblApplications[Inclus projection O/N],"O")</f>
        <v>0</v>
      </c>
      <c r="J274" s="24">
        <f ca="1">SUMIFS(tblApplications[RAM cible ROKS],tblApplications[Cluster ROKS cible (auto)],$B274,tblApplications[Mois de bascule prevu],"&lt;="&amp;EOMONTH($A274,0),tblApplications[Inclus projection O/N],"O")</f>
        <v>0</v>
      </c>
      <c r="K274" s="25">
        <f t="shared" ca="1" si="24"/>
        <v>0</v>
      </c>
      <c r="L274" s="25">
        <f t="shared" ca="1" si="25"/>
        <v>0</v>
      </c>
      <c r="M274" s="26">
        <f t="shared" ca="1" si="26"/>
        <v>0</v>
      </c>
      <c r="N274" s="26">
        <f t="shared" ca="1" si="27"/>
        <v>0</v>
      </c>
      <c r="O274" s="22" t="str">
        <f ca="1">IF(E274=0,IF(K274&gt;0,"Cluster sans capacite provisionnee","n/a"),IF(OR(M274&gt;=Clusters_ROKS!$AC$5,N274&gt;=Clusters_ROKS!$AC$5),"Seuil depasse","OK"))</f>
        <v>OK</v>
      </c>
      <c r="P274" s="25">
        <f t="shared" ca="1" si="28"/>
        <v>0</v>
      </c>
      <c r="Q274" s="25">
        <f t="shared" ca="1" si="29"/>
        <v>0</v>
      </c>
      <c r="R274" s="24">
        <f ca="1">IF(AND(P274=0,Q274=0),0,IFERROR(MAX(ROUNDUP(P274/INDEX(tblClusters[vCPU / noeud (deduit)],MATCH($B274,tblClusters[Cluster],0)),0),ROUNDUP(Q274/INDEX(tblClusters[RAM / noeud - Go (deduit)],MATCH($B274,tblClusters[Cluster],0)),0)),"Flavor a definir"))</f>
        <v>0</v>
      </c>
    </row>
    <row r="275" spans="1:18" x14ac:dyDescent="0.2">
      <c r="A275" s="38">
        <v>46569</v>
      </c>
      <c r="B275" s="21" t="s">
        <v>199</v>
      </c>
      <c r="C275" s="28" t="str">
        <f>IFERROR(INDEX(tblClusters[Utilisation],MATCH($B275,tblClusters[Cluster],0)),"")</f>
        <v>PREZ-i</v>
      </c>
      <c r="D275" s="28" t="str">
        <f>IFERROR(INDEX(tblClusters[Type (deduit)],MATCH($B275,tblClusters[Cluster],0)),"")</f>
        <v>Dedie</v>
      </c>
      <c r="E275" s="24">
        <f>IFERROR(INDEX(tblClusters[CPU max (cores)],MATCH($B275,tblClusters[Cluster],0)),0)</f>
        <v>48</v>
      </c>
      <c r="F275" s="24">
        <f>IFERROR(INDEX(tblClusters[RAM max (Go)],MATCH($B275,tblClusters[Cluster],0)),0)</f>
        <v>192</v>
      </c>
      <c r="G275" s="24">
        <f>IFERROR(INDEX(tblClusters[Charge existante CPU hors migration],MATCH($B275,tblClusters[Cluster],0)),0)</f>
        <v>0</v>
      </c>
      <c r="H275" s="24">
        <f>IFERROR(INDEX(tblClusters[Charge existante RAM hors migration (Go)],MATCH($B275,tblClusters[Cluster],0)),0)</f>
        <v>0</v>
      </c>
      <c r="I275" s="24">
        <f ca="1">SUMIFS(tblApplications[CPU cible ROKS],tblApplications[Cluster ROKS cible (auto)],$B275,tblApplications[Mois de bascule prevu],"&lt;="&amp;EOMONTH($A275,0),tblApplications[Inclus projection O/N],"O")</f>
        <v>0</v>
      </c>
      <c r="J275" s="24">
        <f ca="1">SUMIFS(tblApplications[RAM cible ROKS],tblApplications[Cluster ROKS cible (auto)],$B275,tblApplications[Mois de bascule prevu],"&lt;="&amp;EOMONTH($A275,0),tblApplications[Inclus projection O/N],"O")</f>
        <v>0</v>
      </c>
      <c r="K275" s="25">
        <f t="shared" ca="1" si="24"/>
        <v>0</v>
      </c>
      <c r="L275" s="25">
        <f t="shared" ca="1" si="25"/>
        <v>0</v>
      </c>
      <c r="M275" s="26">
        <f t="shared" ca="1" si="26"/>
        <v>0</v>
      </c>
      <c r="N275" s="26">
        <f t="shared" ca="1" si="27"/>
        <v>0</v>
      </c>
      <c r="O275" s="22" t="str">
        <f ca="1">IF(E275=0,IF(K275&gt;0,"Cluster sans capacite provisionnee","n/a"),IF(OR(M275&gt;=Clusters_ROKS!$AC$5,N275&gt;=Clusters_ROKS!$AC$5),"Seuil depasse","OK"))</f>
        <v>OK</v>
      </c>
      <c r="P275" s="25">
        <f t="shared" ca="1" si="28"/>
        <v>0</v>
      </c>
      <c r="Q275" s="25">
        <f t="shared" ca="1" si="29"/>
        <v>0</v>
      </c>
      <c r="R275" s="24">
        <f ca="1">IF(AND(P275=0,Q275=0),0,IFERROR(MAX(ROUNDUP(P275/INDEX(tblClusters[vCPU / noeud (deduit)],MATCH($B275,tblClusters[Cluster],0)),0),ROUNDUP(Q275/INDEX(tblClusters[RAM / noeud - Go (deduit)],MATCH($B275,tblClusters[Cluster],0)),0)),"Flavor a definir"))</f>
        <v>0</v>
      </c>
    </row>
    <row r="276" spans="1:18" x14ac:dyDescent="0.2">
      <c r="A276" s="38">
        <v>46600</v>
      </c>
      <c r="B276" s="21" t="s">
        <v>199</v>
      </c>
      <c r="C276" s="28" t="str">
        <f>IFERROR(INDEX(tblClusters[Utilisation],MATCH($B276,tblClusters[Cluster],0)),"")</f>
        <v>PREZ-i</v>
      </c>
      <c r="D276" s="28" t="str">
        <f>IFERROR(INDEX(tblClusters[Type (deduit)],MATCH($B276,tblClusters[Cluster],0)),"")</f>
        <v>Dedie</v>
      </c>
      <c r="E276" s="24">
        <f>IFERROR(INDEX(tblClusters[CPU max (cores)],MATCH($B276,tblClusters[Cluster],0)),0)</f>
        <v>48</v>
      </c>
      <c r="F276" s="24">
        <f>IFERROR(INDEX(tblClusters[RAM max (Go)],MATCH($B276,tblClusters[Cluster],0)),0)</f>
        <v>192</v>
      </c>
      <c r="G276" s="24">
        <f>IFERROR(INDEX(tblClusters[Charge existante CPU hors migration],MATCH($B276,tblClusters[Cluster],0)),0)</f>
        <v>0</v>
      </c>
      <c r="H276" s="24">
        <f>IFERROR(INDEX(tblClusters[Charge existante RAM hors migration (Go)],MATCH($B276,tblClusters[Cluster],0)),0)</f>
        <v>0</v>
      </c>
      <c r="I276" s="24">
        <f ca="1">SUMIFS(tblApplications[CPU cible ROKS],tblApplications[Cluster ROKS cible (auto)],$B276,tblApplications[Mois de bascule prevu],"&lt;="&amp;EOMONTH($A276,0),tblApplications[Inclus projection O/N],"O")</f>
        <v>0</v>
      </c>
      <c r="J276" s="24">
        <f ca="1">SUMIFS(tblApplications[RAM cible ROKS],tblApplications[Cluster ROKS cible (auto)],$B276,tblApplications[Mois de bascule prevu],"&lt;="&amp;EOMONTH($A276,0),tblApplications[Inclus projection O/N],"O")</f>
        <v>0</v>
      </c>
      <c r="K276" s="25">
        <f t="shared" ca="1" si="24"/>
        <v>0</v>
      </c>
      <c r="L276" s="25">
        <f t="shared" ca="1" si="25"/>
        <v>0</v>
      </c>
      <c r="M276" s="26">
        <f t="shared" ca="1" si="26"/>
        <v>0</v>
      </c>
      <c r="N276" s="26">
        <f t="shared" ca="1" si="27"/>
        <v>0</v>
      </c>
      <c r="O276" s="22" t="str">
        <f ca="1">IF(E276=0,IF(K276&gt;0,"Cluster sans capacite provisionnee","n/a"),IF(OR(M276&gt;=Clusters_ROKS!$AC$5,N276&gt;=Clusters_ROKS!$AC$5),"Seuil depasse","OK"))</f>
        <v>OK</v>
      </c>
      <c r="P276" s="25">
        <f t="shared" ca="1" si="28"/>
        <v>0</v>
      </c>
      <c r="Q276" s="25">
        <f t="shared" ca="1" si="29"/>
        <v>0</v>
      </c>
      <c r="R276" s="24">
        <f ca="1">IF(AND(P276=0,Q276=0),0,IFERROR(MAX(ROUNDUP(P276/INDEX(tblClusters[vCPU / noeud (deduit)],MATCH($B276,tblClusters[Cluster],0)),0),ROUNDUP(Q276/INDEX(tblClusters[RAM / noeud - Go (deduit)],MATCH($B276,tblClusters[Cluster],0)),0)),"Flavor a definir"))</f>
        <v>0</v>
      </c>
    </row>
    <row r="277" spans="1:18" x14ac:dyDescent="0.2">
      <c r="A277" s="38">
        <v>46631</v>
      </c>
      <c r="B277" s="21" t="s">
        <v>199</v>
      </c>
      <c r="C277" s="28" t="str">
        <f>IFERROR(INDEX(tblClusters[Utilisation],MATCH($B277,tblClusters[Cluster],0)),"")</f>
        <v>PREZ-i</v>
      </c>
      <c r="D277" s="28" t="str">
        <f>IFERROR(INDEX(tblClusters[Type (deduit)],MATCH($B277,tblClusters[Cluster],0)),"")</f>
        <v>Dedie</v>
      </c>
      <c r="E277" s="24">
        <f>IFERROR(INDEX(tblClusters[CPU max (cores)],MATCH($B277,tblClusters[Cluster],0)),0)</f>
        <v>48</v>
      </c>
      <c r="F277" s="24">
        <f>IFERROR(INDEX(tblClusters[RAM max (Go)],MATCH($B277,tblClusters[Cluster],0)),0)</f>
        <v>192</v>
      </c>
      <c r="G277" s="24">
        <f>IFERROR(INDEX(tblClusters[Charge existante CPU hors migration],MATCH($B277,tblClusters[Cluster],0)),0)</f>
        <v>0</v>
      </c>
      <c r="H277" s="24">
        <f>IFERROR(INDEX(tblClusters[Charge existante RAM hors migration (Go)],MATCH($B277,tblClusters[Cluster],0)),0)</f>
        <v>0</v>
      </c>
      <c r="I277" s="24">
        <f ca="1">SUMIFS(tblApplications[CPU cible ROKS],tblApplications[Cluster ROKS cible (auto)],$B277,tblApplications[Mois de bascule prevu],"&lt;="&amp;EOMONTH($A277,0),tblApplications[Inclus projection O/N],"O")</f>
        <v>0</v>
      </c>
      <c r="J277" s="24">
        <f ca="1">SUMIFS(tblApplications[RAM cible ROKS],tblApplications[Cluster ROKS cible (auto)],$B277,tblApplications[Mois de bascule prevu],"&lt;="&amp;EOMONTH($A277,0),tblApplications[Inclus projection O/N],"O")</f>
        <v>0</v>
      </c>
      <c r="K277" s="25">
        <f t="shared" ca="1" si="24"/>
        <v>0</v>
      </c>
      <c r="L277" s="25">
        <f t="shared" ca="1" si="25"/>
        <v>0</v>
      </c>
      <c r="M277" s="26">
        <f t="shared" ca="1" si="26"/>
        <v>0</v>
      </c>
      <c r="N277" s="26">
        <f t="shared" ca="1" si="27"/>
        <v>0</v>
      </c>
      <c r="O277" s="22" t="str">
        <f ca="1">IF(E277=0,IF(K277&gt;0,"Cluster sans capacite provisionnee","n/a"),IF(OR(M277&gt;=Clusters_ROKS!$AC$5,N277&gt;=Clusters_ROKS!$AC$5),"Seuil depasse","OK"))</f>
        <v>OK</v>
      </c>
      <c r="P277" s="25">
        <f t="shared" ca="1" si="28"/>
        <v>0</v>
      </c>
      <c r="Q277" s="25">
        <f t="shared" ca="1" si="29"/>
        <v>0</v>
      </c>
      <c r="R277" s="24">
        <f ca="1">IF(AND(P277=0,Q277=0),0,IFERROR(MAX(ROUNDUP(P277/INDEX(tblClusters[vCPU / noeud (deduit)],MATCH($B277,tblClusters[Cluster],0)),0),ROUNDUP(Q277/INDEX(tblClusters[RAM / noeud - Go (deduit)],MATCH($B277,tblClusters[Cluster],0)),0)),"Flavor a definir"))</f>
        <v>0</v>
      </c>
    </row>
    <row r="278" spans="1:18" x14ac:dyDescent="0.2">
      <c r="A278" s="38">
        <v>46661</v>
      </c>
      <c r="B278" s="21" t="s">
        <v>199</v>
      </c>
      <c r="C278" s="28" t="str">
        <f>IFERROR(INDEX(tblClusters[Utilisation],MATCH($B278,tblClusters[Cluster],0)),"")</f>
        <v>PREZ-i</v>
      </c>
      <c r="D278" s="28" t="str">
        <f>IFERROR(INDEX(tblClusters[Type (deduit)],MATCH($B278,tblClusters[Cluster],0)),"")</f>
        <v>Dedie</v>
      </c>
      <c r="E278" s="24">
        <f>IFERROR(INDEX(tblClusters[CPU max (cores)],MATCH($B278,tblClusters[Cluster],0)),0)</f>
        <v>48</v>
      </c>
      <c r="F278" s="24">
        <f>IFERROR(INDEX(tblClusters[RAM max (Go)],MATCH($B278,tblClusters[Cluster],0)),0)</f>
        <v>192</v>
      </c>
      <c r="G278" s="24">
        <f>IFERROR(INDEX(tblClusters[Charge existante CPU hors migration],MATCH($B278,tblClusters[Cluster],0)),0)</f>
        <v>0</v>
      </c>
      <c r="H278" s="24">
        <f>IFERROR(INDEX(tblClusters[Charge existante RAM hors migration (Go)],MATCH($B278,tblClusters[Cluster],0)),0)</f>
        <v>0</v>
      </c>
      <c r="I278" s="24">
        <f ca="1">SUMIFS(tblApplications[CPU cible ROKS],tblApplications[Cluster ROKS cible (auto)],$B278,tblApplications[Mois de bascule prevu],"&lt;="&amp;EOMONTH($A278,0),tblApplications[Inclus projection O/N],"O")</f>
        <v>0</v>
      </c>
      <c r="J278" s="24">
        <f ca="1">SUMIFS(tblApplications[RAM cible ROKS],tblApplications[Cluster ROKS cible (auto)],$B278,tblApplications[Mois de bascule prevu],"&lt;="&amp;EOMONTH($A278,0),tblApplications[Inclus projection O/N],"O")</f>
        <v>0</v>
      </c>
      <c r="K278" s="25">
        <f t="shared" ca="1" si="24"/>
        <v>0</v>
      </c>
      <c r="L278" s="25">
        <f t="shared" ca="1" si="25"/>
        <v>0</v>
      </c>
      <c r="M278" s="26">
        <f t="shared" ca="1" si="26"/>
        <v>0</v>
      </c>
      <c r="N278" s="26">
        <f t="shared" ca="1" si="27"/>
        <v>0</v>
      </c>
      <c r="O278" s="22" t="str">
        <f ca="1">IF(E278=0,IF(K278&gt;0,"Cluster sans capacite provisionnee","n/a"),IF(OR(M278&gt;=Clusters_ROKS!$AC$5,N278&gt;=Clusters_ROKS!$AC$5),"Seuil depasse","OK"))</f>
        <v>OK</v>
      </c>
      <c r="P278" s="25">
        <f t="shared" ca="1" si="28"/>
        <v>0</v>
      </c>
      <c r="Q278" s="25">
        <f t="shared" ca="1" si="29"/>
        <v>0</v>
      </c>
      <c r="R278" s="24">
        <f ca="1">IF(AND(P278=0,Q278=0),0,IFERROR(MAX(ROUNDUP(P278/INDEX(tblClusters[vCPU / noeud (deduit)],MATCH($B278,tblClusters[Cluster],0)),0),ROUNDUP(Q278/INDEX(tblClusters[RAM / noeud - Go (deduit)],MATCH($B278,tblClusters[Cluster],0)),0)),"Flavor a definir"))</f>
        <v>0</v>
      </c>
    </row>
    <row r="279" spans="1:18" x14ac:dyDescent="0.2">
      <c r="A279" s="38">
        <v>46692</v>
      </c>
      <c r="B279" s="21" t="s">
        <v>199</v>
      </c>
      <c r="C279" s="28" t="str">
        <f>IFERROR(INDEX(tblClusters[Utilisation],MATCH($B279,tblClusters[Cluster],0)),"")</f>
        <v>PREZ-i</v>
      </c>
      <c r="D279" s="28" t="str">
        <f>IFERROR(INDEX(tblClusters[Type (deduit)],MATCH($B279,tblClusters[Cluster],0)),"")</f>
        <v>Dedie</v>
      </c>
      <c r="E279" s="24">
        <f>IFERROR(INDEX(tblClusters[CPU max (cores)],MATCH($B279,tblClusters[Cluster],0)),0)</f>
        <v>48</v>
      </c>
      <c r="F279" s="24">
        <f>IFERROR(INDEX(tblClusters[RAM max (Go)],MATCH($B279,tblClusters[Cluster],0)),0)</f>
        <v>192</v>
      </c>
      <c r="G279" s="24">
        <f>IFERROR(INDEX(tblClusters[Charge existante CPU hors migration],MATCH($B279,tblClusters[Cluster],0)),0)</f>
        <v>0</v>
      </c>
      <c r="H279" s="24">
        <f>IFERROR(INDEX(tblClusters[Charge existante RAM hors migration (Go)],MATCH($B279,tblClusters[Cluster],0)),0)</f>
        <v>0</v>
      </c>
      <c r="I279" s="24">
        <f ca="1">SUMIFS(tblApplications[CPU cible ROKS],tblApplications[Cluster ROKS cible (auto)],$B279,tblApplications[Mois de bascule prevu],"&lt;="&amp;EOMONTH($A279,0),tblApplications[Inclus projection O/N],"O")</f>
        <v>0</v>
      </c>
      <c r="J279" s="24">
        <f ca="1">SUMIFS(tblApplications[RAM cible ROKS],tblApplications[Cluster ROKS cible (auto)],$B279,tblApplications[Mois de bascule prevu],"&lt;="&amp;EOMONTH($A279,0),tblApplications[Inclus projection O/N],"O")</f>
        <v>0</v>
      </c>
      <c r="K279" s="25">
        <f t="shared" ca="1" si="24"/>
        <v>0</v>
      </c>
      <c r="L279" s="25">
        <f t="shared" ca="1" si="25"/>
        <v>0</v>
      </c>
      <c r="M279" s="26">
        <f t="shared" ca="1" si="26"/>
        <v>0</v>
      </c>
      <c r="N279" s="26">
        <f t="shared" ca="1" si="27"/>
        <v>0</v>
      </c>
      <c r="O279" s="22" t="str">
        <f ca="1">IF(E279=0,IF(K279&gt;0,"Cluster sans capacite provisionnee","n/a"),IF(OR(M279&gt;=Clusters_ROKS!$AC$5,N279&gt;=Clusters_ROKS!$AC$5),"Seuil depasse","OK"))</f>
        <v>OK</v>
      </c>
      <c r="P279" s="25">
        <f t="shared" ca="1" si="28"/>
        <v>0</v>
      </c>
      <c r="Q279" s="25">
        <f t="shared" ca="1" si="29"/>
        <v>0</v>
      </c>
      <c r="R279" s="24">
        <f ca="1">IF(AND(P279=0,Q279=0),0,IFERROR(MAX(ROUNDUP(P279/INDEX(tblClusters[vCPU / noeud (deduit)],MATCH($B279,tblClusters[Cluster],0)),0),ROUNDUP(Q279/INDEX(tblClusters[RAM / noeud - Go (deduit)],MATCH($B279,tblClusters[Cluster],0)),0)),"Flavor a definir"))</f>
        <v>0</v>
      </c>
    </row>
    <row r="280" spans="1:18" x14ac:dyDescent="0.2">
      <c r="A280" s="38">
        <v>46722</v>
      </c>
      <c r="B280" s="21" t="s">
        <v>199</v>
      </c>
      <c r="C280" s="28" t="str">
        <f>IFERROR(INDEX(tblClusters[Utilisation],MATCH($B280,tblClusters[Cluster],0)),"")</f>
        <v>PREZ-i</v>
      </c>
      <c r="D280" s="28" t="str">
        <f>IFERROR(INDEX(tblClusters[Type (deduit)],MATCH($B280,tblClusters[Cluster],0)),"")</f>
        <v>Dedie</v>
      </c>
      <c r="E280" s="24">
        <f>IFERROR(INDEX(tblClusters[CPU max (cores)],MATCH($B280,tblClusters[Cluster],0)),0)</f>
        <v>48</v>
      </c>
      <c r="F280" s="24">
        <f>IFERROR(INDEX(tblClusters[RAM max (Go)],MATCH($B280,tblClusters[Cluster],0)),0)</f>
        <v>192</v>
      </c>
      <c r="G280" s="24">
        <f>IFERROR(INDEX(tblClusters[Charge existante CPU hors migration],MATCH($B280,tblClusters[Cluster],0)),0)</f>
        <v>0</v>
      </c>
      <c r="H280" s="24">
        <f>IFERROR(INDEX(tblClusters[Charge existante RAM hors migration (Go)],MATCH($B280,tblClusters[Cluster],0)),0)</f>
        <v>0</v>
      </c>
      <c r="I280" s="24">
        <f ca="1">SUMIFS(tblApplications[CPU cible ROKS],tblApplications[Cluster ROKS cible (auto)],$B280,tblApplications[Mois de bascule prevu],"&lt;="&amp;EOMONTH($A280,0),tblApplications[Inclus projection O/N],"O")</f>
        <v>0</v>
      </c>
      <c r="J280" s="24">
        <f ca="1">SUMIFS(tblApplications[RAM cible ROKS],tblApplications[Cluster ROKS cible (auto)],$B280,tblApplications[Mois de bascule prevu],"&lt;="&amp;EOMONTH($A280,0),tblApplications[Inclus projection O/N],"O")</f>
        <v>0</v>
      </c>
      <c r="K280" s="25">
        <f t="shared" ca="1" si="24"/>
        <v>0</v>
      </c>
      <c r="L280" s="25">
        <f t="shared" ca="1" si="25"/>
        <v>0</v>
      </c>
      <c r="M280" s="26">
        <f t="shared" ca="1" si="26"/>
        <v>0</v>
      </c>
      <c r="N280" s="26">
        <f t="shared" ca="1" si="27"/>
        <v>0</v>
      </c>
      <c r="O280" s="22" t="str">
        <f ca="1">IF(E280=0,IF(K280&gt;0,"Cluster sans capacite provisionnee","n/a"),IF(OR(M280&gt;=Clusters_ROKS!$AC$5,N280&gt;=Clusters_ROKS!$AC$5),"Seuil depasse","OK"))</f>
        <v>OK</v>
      </c>
      <c r="P280" s="25">
        <f t="shared" ca="1" si="28"/>
        <v>0</v>
      </c>
      <c r="Q280" s="25">
        <f t="shared" ca="1" si="29"/>
        <v>0</v>
      </c>
      <c r="R280" s="24">
        <f ca="1">IF(AND(P280=0,Q280=0),0,IFERROR(MAX(ROUNDUP(P280/INDEX(tblClusters[vCPU / noeud (deduit)],MATCH($B280,tblClusters[Cluster],0)),0),ROUNDUP(Q280/INDEX(tblClusters[RAM / noeud - Go (deduit)],MATCH($B280,tblClusters[Cluster],0)),0)),"Flavor a definir"))</f>
        <v>0</v>
      </c>
    </row>
    <row r="281" spans="1:18" x14ac:dyDescent="0.2">
      <c r="A281" s="38">
        <v>46388</v>
      </c>
      <c r="B281" s="21" t="s">
        <v>200</v>
      </c>
      <c r="C281" s="28" t="str">
        <f>IFERROR(INDEX(tblClusters[Utilisation],MATCH($B281,tblClusters[Cluster],0)),"")</f>
        <v>JUMP AEP</v>
      </c>
      <c r="D281" s="28" t="str">
        <f>IFERROR(INDEX(tblClusters[Type (deduit)],MATCH($B281,tblClusters[Cluster],0)),"")</f>
        <v>Dedie</v>
      </c>
      <c r="E281" s="24">
        <f>IFERROR(INDEX(tblClusters[CPU max (cores)],MATCH($B281,tblClusters[Cluster],0)),0)</f>
        <v>384</v>
      </c>
      <c r="F281" s="24">
        <f>IFERROR(INDEX(tblClusters[RAM max (Go)],MATCH($B281,tblClusters[Cluster],0)),0)</f>
        <v>3072</v>
      </c>
      <c r="G281" s="24">
        <f>IFERROR(INDEX(tblClusters[Charge existante CPU hors migration],MATCH($B281,tblClusters[Cluster],0)),0)</f>
        <v>0</v>
      </c>
      <c r="H281" s="24">
        <f>IFERROR(INDEX(tblClusters[Charge existante RAM hors migration (Go)],MATCH($B281,tblClusters[Cluster],0)),0)</f>
        <v>0</v>
      </c>
      <c r="I281" s="24">
        <f ca="1">SUMIFS(tblApplications[CPU cible ROKS],tblApplications[Cluster ROKS cible (auto)],$B281,tblApplications[Mois de bascule prevu],"&lt;="&amp;EOMONTH($A281,0),tblApplications[Inclus projection O/N],"O")</f>
        <v>0</v>
      </c>
      <c r="J281" s="24">
        <f ca="1">SUMIFS(tblApplications[RAM cible ROKS],tblApplications[Cluster ROKS cible (auto)],$B281,tblApplications[Mois de bascule prevu],"&lt;="&amp;EOMONTH($A281,0),tblApplications[Inclus projection O/N],"O")</f>
        <v>0</v>
      </c>
      <c r="K281" s="25">
        <f t="shared" ca="1" si="24"/>
        <v>0</v>
      </c>
      <c r="L281" s="25">
        <f t="shared" ca="1" si="25"/>
        <v>0</v>
      </c>
      <c r="M281" s="26">
        <f t="shared" ca="1" si="26"/>
        <v>0</v>
      </c>
      <c r="N281" s="26">
        <f t="shared" ca="1" si="27"/>
        <v>0</v>
      </c>
      <c r="O281" s="22" t="str">
        <f ca="1">IF(E281=0,IF(K281&gt;0,"Cluster sans capacite provisionnee","n/a"),IF(OR(M281&gt;=Clusters_ROKS!$AC$5,N281&gt;=Clusters_ROKS!$AC$5),"Seuil depasse","OK"))</f>
        <v>OK</v>
      </c>
      <c r="P281" s="25">
        <f t="shared" ca="1" si="28"/>
        <v>0</v>
      </c>
      <c r="Q281" s="25">
        <f t="shared" ca="1" si="29"/>
        <v>0</v>
      </c>
      <c r="R281" s="24">
        <f ca="1">IF(AND(P281=0,Q281=0),0,IFERROR(MAX(ROUNDUP(P281/INDEX(tblClusters[vCPU / noeud (deduit)],MATCH($B281,tblClusters[Cluster],0)),0),ROUNDUP(Q281/INDEX(tblClusters[RAM / noeud - Go (deduit)],MATCH($B281,tblClusters[Cluster],0)),0)),"Flavor a definir"))</f>
        <v>0</v>
      </c>
    </row>
    <row r="282" spans="1:18" x14ac:dyDescent="0.2">
      <c r="A282" s="38">
        <v>46419</v>
      </c>
      <c r="B282" s="21" t="s">
        <v>200</v>
      </c>
      <c r="C282" s="28" t="str">
        <f>IFERROR(INDEX(tblClusters[Utilisation],MATCH($B282,tblClusters[Cluster],0)),"")</f>
        <v>JUMP AEP</v>
      </c>
      <c r="D282" s="28" t="str">
        <f>IFERROR(INDEX(tblClusters[Type (deduit)],MATCH($B282,tblClusters[Cluster],0)),"")</f>
        <v>Dedie</v>
      </c>
      <c r="E282" s="24">
        <f>IFERROR(INDEX(tblClusters[CPU max (cores)],MATCH($B282,tblClusters[Cluster],0)),0)</f>
        <v>384</v>
      </c>
      <c r="F282" s="24">
        <f>IFERROR(INDEX(tblClusters[RAM max (Go)],MATCH($B282,tblClusters[Cluster],0)),0)</f>
        <v>3072</v>
      </c>
      <c r="G282" s="24">
        <f>IFERROR(INDEX(tblClusters[Charge existante CPU hors migration],MATCH($B282,tblClusters[Cluster],0)),0)</f>
        <v>0</v>
      </c>
      <c r="H282" s="24">
        <f>IFERROR(INDEX(tblClusters[Charge existante RAM hors migration (Go)],MATCH($B282,tblClusters[Cluster],0)),0)</f>
        <v>0</v>
      </c>
      <c r="I282" s="24">
        <f ca="1">SUMIFS(tblApplications[CPU cible ROKS],tblApplications[Cluster ROKS cible (auto)],$B282,tblApplications[Mois de bascule prevu],"&lt;="&amp;EOMONTH($A282,0),tblApplications[Inclus projection O/N],"O")</f>
        <v>0</v>
      </c>
      <c r="J282" s="24">
        <f ca="1">SUMIFS(tblApplications[RAM cible ROKS],tblApplications[Cluster ROKS cible (auto)],$B282,tblApplications[Mois de bascule prevu],"&lt;="&amp;EOMONTH($A282,0),tblApplications[Inclus projection O/N],"O")</f>
        <v>0</v>
      </c>
      <c r="K282" s="25">
        <f t="shared" ca="1" si="24"/>
        <v>0</v>
      </c>
      <c r="L282" s="25">
        <f t="shared" ca="1" si="25"/>
        <v>0</v>
      </c>
      <c r="M282" s="26">
        <f t="shared" ca="1" si="26"/>
        <v>0</v>
      </c>
      <c r="N282" s="26">
        <f t="shared" ca="1" si="27"/>
        <v>0</v>
      </c>
      <c r="O282" s="22" t="str">
        <f ca="1">IF(E282=0,IF(K282&gt;0,"Cluster sans capacite provisionnee","n/a"),IF(OR(M282&gt;=Clusters_ROKS!$AC$5,N282&gt;=Clusters_ROKS!$AC$5),"Seuil depasse","OK"))</f>
        <v>OK</v>
      </c>
      <c r="P282" s="25">
        <f t="shared" ca="1" si="28"/>
        <v>0</v>
      </c>
      <c r="Q282" s="25">
        <f t="shared" ca="1" si="29"/>
        <v>0</v>
      </c>
      <c r="R282" s="24">
        <f ca="1">IF(AND(P282=0,Q282=0),0,IFERROR(MAX(ROUNDUP(P282/INDEX(tblClusters[vCPU / noeud (deduit)],MATCH($B282,tblClusters[Cluster],0)),0),ROUNDUP(Q282/INDEX(tblClusters[RAM / noeud - Go (deduit)],MATCH($B282,tblClusters[Cluster],0)),0)),"Flavor a definir"))</f>
        <v>0</v>
      </c>
    </row>
    <row r="283" spans="1:18" x14ac:dyDescent="0.2">
      <c r="A283" s="38">
        <v>46447</v>
      </c>
      <c r="B283" s="21" t="s">
        <v>200</v>
      </c>
      <c r="C283" s="28" t="str">
        <f>IFERROR(INDEX(tblClusters[Utilisation],MATCH($B283,tblClusters[Cluster],0)),"")</f>
        <v>JUMP AEP</v>
      </c>
      <c r="D283" s="28" t="str">
        <f>IFERROR(INDEX(tblClusters[Type (deduit)],MATCH($B283,tblClusters[Cluster],0)),"")</f>
        <v>Dedie</v>
      </c>
      <c r="E283" s="24">
        <f>IFERROR(INDEX(tblClusters[CPU max (cores)],MATCH($B283,tblClusters[Cluster],0)),0)</f>
        <v>384</v>
      </c>
      <c r="F283" s="24">
        <f>IFERROR(INDEX(tblClusters[RAM max (Go)],MATCH($B283,tblClusters[Cluster],0)),0)</f>
        <v>3072</v>
      </c>
      <c r="G283" s="24">
        <f>IFERROR(INDEX(tblClusters[Charge existante CPU hors migration],MATCH($B283,tblClusters[Cluster],0)),0)</f>
        <v>0</v>
      </c>
      <c r="H283" s="24">
        <f>IFERROR(INDEX(tblClusters[Charge existante RAM hors migration (Go)],MATCH($B283,tblClusters[Cluster],0)),0)</f>
        <v>0</v>
      </c>
      <c r="I283" s="24">
        <f ca="1">SUMIFS(tblApplications[CPU cible ROKS],tblApplications[Cluster ROKS cible (auto)],$B283,tblApplications[Mois de bascule prevu],"&lt;="&amp;EOMONTH($A283,0),tblApplications[Inclus projection O/N],"O")</f>
        <v>0</v>
      </c>
      <c r="J283" s="24">
        <f ca="1">SUMIFS(tblApplications[RAM cible ROKS],tblApplications[Cluster ROKS cible (auto)],$B283,tblApplications[Mois de bascule prevu],"&lt;="&amp;EOMONTH($A283,0),tblApplications[Inclus projection O/N],"O")</f>
        <v>0</v>
      </c>
      <c r="K283" s="25">
        <f t="shared" ca="1" si="24"/>
        <v>0</v>
      </c>
      <c r="L283" s="25">
        <f t="shared" ca="1" si="25"/>
        <v>0</v>
      </c>
      <c r="M283" s="26">
        <f t="shared" ca="1" si="26"/>
        <v>0</v>
      </c>
      <c r="N283" s="26">
        <f t="shared" ca="1" si="27"/>
        <v>0</v>
      </c>
      <c r="O283" s="22" t="str">
        <f ca="1">IF(E283=0,IF(K283&gt;0,"Cluster sans capacite provisionnee","n/a"),IF(OR(M283&gt;=Clusters_ROKS!$AC$5,N283&gt;=Clusters_ROKS!$AC$5),"Seuil depasse","OK"))</f>
        <v>OK</v>
      </c>
      <c r="P283" s="25">
        <f t="shared" ca="1" si="28"/>
        <v>0</v>
      </c>
      <c r="Q283" s="25">
        <f t="shared" ca="1" si="29"/>
        <v>0</v>
      </c>
      <c r="R283" s="24">
        <f ca="1">IF(AND(P283=0,Q283=0),0,IFERROR(MAX(ROUNDUP(P283/INDEX(tblClusters[vCPU / noeud (deduit)],MATCH($B283,tblClusters[Cluster],0)),0),ROUNDUP(Q283/INDEX(tblClusters[RAM / noeud - Go (deduit)],MATCH($B283,tblClusters[Cluster],0)),0)),"Flavor a definir"))</f>
        <v>0</v>
      </c>
    </row>
    <row r="284" spans="1:18" x14ac:dyDescent="0.2">
      <c r="A284" s="38">
        <v>46478</v>
      </c>
      <c r="B284" s="21" t="s">
        <v>200</v>
      </c>
      <c r="C284" s="28" t="str">
        <f>IFERROR(INDEX(tblClusters[Utilisation],MATCH($B284,tblClusters[Cluster],0)),"")</f>
        <v>JUMP AEP</v>
      </c>
      <c r="D284" s="28" t="str">
        <f>IFERROR(INDEX(tblClusters[Type (deduit)],MATCH($B284,tblClusters[Cluster],0)),"")</f>
        <v>Dedie</v>
      </c>
      <c r="E284" s="24">
        <f>IFERROR(INDEX(tblClusters[CPU max (cores)],MATCH($B284,tblClusters[Cluster],0)),0)</f>
        <v>384</v>
      </c>
      <c r="F284" s="24">
        <f>IFERROR(INDEX(tblClusters[RAM max (Go)],MATCH($B284,tblClusters[Cluster],0)),0)</f>
        <v>3072</v>
      </c>
      <c r="G284" s="24">
        <f>IFERROR(INDEX(tblClusters[Charge existante CPU hors migration],MATCH($B284,tblClusters[Cluster],0)),0)</f>
        <v>0</v>
      </c>
      <c r="H284" s="24">
        <f>IFERROR(INDEX(tblClusters[Charge existante RAM hors migration (Go)],MATCH($B284,tblClusters[Cluster],0)),0)</f>
        <v>0</v>
      </c>
      <c r="I284" s="24">
        <f ca="1">SUMIFS(tblApplications[CPU cible ROKS],tblApplications[Cluster ROKS cible (auto)],$B284,tblApplications[Mois de bascule prevu],"&lt;="&amp;EOMONTH($A284,0),tblApplications[Inclus projection O/N],"O")</f>
        <v>0</v>
      </c>
      <c r="J284" s="24">
        <f ca="1">SUMIFS(tblApplications[RAM cible ROKS],tblApplications[Cluster ROKS cible (auto)],$B284,tblApplications[Mois de bascule prevu],"&lt;="&amp;EOMONTH($A284,0),tblApplications[Inclus projection O/N],"O")</f>
        <v>0</v>
      </c>
      <c r="K284" s="25">
        <f t="shared" ca="1" si="24"/>
        <v>0</v>
      </c>
      <c r="L284" s="25">
        <f t="shared" ca="1" si="25"/>
        <v>0</v>
      </c>
      <c r="M284" s="26">
        <f t="shared" ca="1" si="26"/>
        <v>0</v>
      </c>
      <c r="N284" s="26">
        <f t="shared" ca="1" si="27"/>
        <v>0</v>
      </c>
      <c r="O284" s="22" t="str">
        <f ca="1">IF(E284=0,IF(K284&gt;0,"Cluster sans capacite provisionnee","n/a"),IF(OR(M284&gt;=Clusters_ROKS!$AC$5,N284&gt;=Clusters_ROKS!$AC$5),"Seuil depasse","OK"))</f>
        <v>OK</v>
      </c>
      <c r="P284" s="25">
        <f t="shared" ca="1" si="28"/>
        <v>0</v>
      </c>
      <c r="Q284" s="25">
        <f t="shared" ca="1" si="29"/>
        <v>0</v>
      </c>
      <c r="R284" s="24">
        <f ca="1">IF(AND(P284=0,Q284=0),0,IFERROR(MAX(ROUNDUP(P284/INDEX(tblClusters[vCPU / noeud (deduit)],MATCH($B284,tblClusters[Cluster],0)),0),ROUNDUP(Q284/INDEX(tblClusters[RAM / noeud - Go (deduit)],MATCH($B284,tblClusters[Cluster],0)),0)),"Flavor a definir"))</f>
        <v>0</v>
      </c>
    </row>
    <row r="285" spans="1:18" x14ac:dyDescent="0.2">
      <c r="A285" s="38">
        <v>46508</v>
      </c>
      <c r="B285" s="21" t="s">
        <v>200</v>
      </c>
      <c r="C285" s="28" t="str">
        <f>IFERROR(INDEX(tblClusters[Utilisation],MATCH($B285,tblClusters[Cluster],0)),"")</f>
        <v>JUMP AEP</v>
      </c>
      <c r="D285" s="28" t="str">
        <f>IFERROR(INDEX(tblClusters[Type (deduit)],MATCH($B285,tblClusters[Cluster],0)),"")</f>
        <v>Dedie</v>
      </c>
      <c r="E285" s="24">
        <f>IFERROR(INDEX(tblClusters[CPU max (cores)],MATCH($B285,tblClusters[Cluster],0)),0)</f>
        <v>384</v>
      </c>
      <c r="F285" s="24">
        <f>IFERROR(INDEX(tblClusters[RAM max (Go)],MATCH($B285,tblClusters[Cluster],0)),0)</f>
        <v>3072</v>
      </c>
      <c r="G285" s="24">
        <f>IFERROR(INDEX(tblClusters[Charge existante CPU hors migration],MATCH($B285,tblClusters[Cluster],0)),0)</f>
        <v>0</v>
      </c>
      <c r="H285" s="24">
        <f>IFERROR(INDEX(tblClusters[Charge existante RAM hors migration (Go)],MATCH($B285,tblClusters[Cluster],0)),0)</f>
        <v>0</v>
      </c>
      <c r="I285" s="24">
        <f ca="1">SUMIFS(tblApplications[CPU cible ROKS],tblApplications[Cluster ROKS cible (auto)],$B285,tblApplications[Mois de bascule prevu],"&lt;="&amp;EOMONTH($A285,0),tblApplications[Inclus projection O/N],"O")</f>
        <v>0</v>
      </c>
      <c r="J285" s="24">
        <f ca="1">SUMIFS(tblApplications[RAM cible ROKS],tblApplications[Cluster ROKS cible (auto)],$B285,tblApplications[Mois de bascule prevu],"&lt;="&amp;EOMONTH($A285,0),tblApplications[Inclus projection O/N],"O")</f>
        <v>0</v>
      </c>
      <c r="K285" s="25">
        <f t="shared" ca="1" si="24"/>
        <v>0</v>
      </c>
      <c r="L285" s="25">
        <f t="shared" ca="1" si="25"/>
        <v>0</v>
      </c>
      <c r="M285" s="26">
        <f t="shared" ca="1" si="26"/>
        <v>0</v>
      </c>
      <c r="N285" s="26">
        <f t="shared" ca="1" si="27"/>
        <v>0</v>
      </c>
      <c r="O285" s="22" t="str">
        <f ca="1">IF(E285=0,IF(K285&gt;0,"Cluster sans capacite provisionnee","n/a"),IF(OR(M285&gt;=Clusters_ROKS!$AC$5,N285&gt;=Clusters_ROKS!$AC$5),"Seuil depasse","OK"))</f>
        <v>OK</v>
      </c>
      <c r="P285" s="25">
        <f t="shared" ca="1" si="28"/>
        <v>0</v>
      </c>
      <c r="Q285" s="25">
        <f t="shared" ca="1" si="29"/>
        <v>0</v>
      </c>
      <c r="R285" s="24">
        <f ca="1">IF(AND(P285=0,Q285=0),0,IFERROR(MAX(ROUNDUP(P285/INDEX(tblClusters[vCPU / noeud (deduit)],MATCH($B285,tblClusters[Cluster],0)),0),ROUNDUP(Q285/INDEX(tblClusters[RAM / noeud - Go (deduit)],MATCH($B285,tblClusters[Cluster],0)),0)),"Flavor a definir"))</f>
        <v>0</v>
      </c>
    </row>
    <row r="286" spans="1:18" x14ac:dyDescent="0.2">
      <c r="A286" s="38">
        <v>46539</v>
      </c>
      <c r="B286" s="21" t="s">
        <v>200</v>
      </c>
      <c r="C286" s="28" t="str">
        <f>IFERROR(INDEX(tblClusters[Utilisation],MATCH($B286,tblClusters[Cluster],0)),"")</f>
        <v>JUMP AEP</v>
      </c>
      <c r="D286" s="28" t="str">
        <f>IFERROR(INDEX(tblClusters[Type (deduit)],MATCH($B286,tblClusters[Cluster],0)),"")</f>
        <v>Dedie</v>
      </c>
      <c r="E286" s="24">
        <f>IFERROR(INDEX(tblClusters[CPU max (cores)],MATCH($B286,tblClusters[Cluster],0)),0)</f>
        <v>384</v>
      </c>
      <c r="F286" s="24">
        <f>IFERROR(INDEX(tblClusters[RAM max (Go)],MATCH($B286,tblClusters[Cluster],0)),0)</f>
        <v>3072</v>
      </c>
      <c r="G286" s="24">
        <f>IFERROR(INDEX(tblClusters[Charge existante CPU hors migration],MATCH($B286,tblClusters[Cluster],0)),0)</f>
        <v>0</v>
      </c>
      <c r="H286" s="24">
        <f>IFERROR(INDEX(tblClusters[Charge existante RAM hors migration (Go)],MATCH($B286,tblClusters[Cluster],0)),0)</f>
        <v>0</v>
      </c>
      <c r="I286" s="24">
        <f ca="1">SUMIFS(tblApplications[CPU cible ROKS],tblApplications[Cluster ROKS cible (auto)],$B286,tblApplications[Mois de bascule prevu],"&lt;="&amp;EOMONTH($A286,0),tblApplications[Inclus projection O/N],"O")</f>
        <v>0</v>
      </c>
      <c r="J286" s="24">
        <f ca="1">SUMIFS(tblApplications[RAM cible ROKS],tblApplications[Cluster ROKS cible (auto)],$B286,tblApplications[Mois de bascule prevu],"&lt;="&amp;EOMONTH($A286,0),tblApplications[Inclus projection O/N],"O")</f>
        <v>0</v>
      </c>
      <c r="K286" s="25">
        <f t="shared" ca="1" si="24"/>
        <v>0</v>
      </c>
      <c r="L286" s="25">
        <f t="shared" ca="1" si="25"/>
        <v>0</v>
      </c>
      <c r="M286" s="26">
        <f t="shared" ca="1" si="26"/>
        <v>0</v>
      </c>
      <c r="N286" s="26">
        <f t="shared" ca="1" si="27"/>
        <v>0</v>
      </c>
      <c r="O286" s="22" t="str">
        <f ca="1">IF(E286=0,IF(K286&gt;0,"Cluster sans capacite provisionnee","n/a"),IF(OR(M286&gt;=Clusters_ROKS!$AC$5,N286&gt;=Clusters_ROKS!$AC$5),"Seuil depasse","OK"))</f>
        <v>OK</v>
      </c>
      <c r="P286" s="25">
        <f t="shared" ca="1" si="28"/>
        <v>0</v>
      </c>
      <c r="Q286" s="25">
        <f t="shared" ca="1" si="29"/>
        <v>0</v>
      </c>
      <c r="R286" s="24">
        <f ca="1">IF(AND(P286=0,Q286=0),0,IFERROR(MAX(ROUNDUP(P286/INDEX(tblClusters[vCPU / noeud (deduit)],MATCH($B286,tblClusters[Cluster],0)),0),ROUNDUP(Q286/INDEX(tblClusters[RAM / noeud - Go (deduit)],MATCH($B286,tblClusters[Cluster],0)),0)),"Flavor a definir"))</f>
        <v>0</v>
      </c>
    </row>
    <row r="287" spans="1:18" x14ac:dyDescent="0.2">
      <c r="A287" s="38">
        <v>46569</v>
      </c>
      <c r="B287" s="21" t="s">
        <v>200</v>
      </c>
      <c r="C287" s="28" t="str">
        <f>IFERROR(INDEX(tblClusters[Utilisation],MATCH($B287,tblClusters[Cluster],0)),"")</f>
        <v>JUMP AEP</v>
      </c>
      <c r="D287" s="28" t="str">
        <f>IFERROR(INDEX(tblClusters[Type (deduit)],MATCH($B287,tblClusters[Cluster],0)),"")</f>
        <v>Dedie</v>
      </c>
      <c r="E287" s="24">
        <f>IFERROR(INDEX(tblClusters[CPU max (cores)],MATCH($B287,tblClusters[Cluster],0)),0)</f>
        <v>384</v>
      </c>
      <c r="F287" s="24">
        <f>IFERROR(INDEX(tblClusters[RAM max (Go)],MATCH($B287,tblClusters[Cluster],0)),0)</f>
        <v>3072</v>
      </c>
      <c r="G287" s="24">
        <f>IFERROR(INDEX(tblClusters[Charge existante CPU hors migration],MATCH($B287,tblClusters[Cluster],0)),0)</f>
        <v>0</v>
      </c>
      <c r="H287" s="24">
        <f>IFERROR(INDEX(tblClusters[Charge existante RAM hors migration (Go)],MATCH($B287,tblClusters[Cluster],0)),0)</f>
        <v>0</v>
      </c>
      <c r="I287" s="24">
        <f ca="1">SUMIFS(tblApplications[CPU cible ROKS],tblApplications[Cluster ROKS cible (auto)],$B287,tblApplications[Mois de bascule prevu],"&lt;="&amp;EOMONTH($A287,0),tblApplications[Inclus projection O/N],"O")</f>
        <v>0</v>
      </c>
      <c r="J287" s="24">
        <f ca="1">SUMIFS(tblApplications[RAM cible ROKS],tblApplications[Cluster ROKS cible (auto)],$B287,tblApplications[Mois de bascule prevu],"&lt;="&amp;EOMONTH($A287,0),tblApplications[Inclus projection O/N],"O")</f>
        <v>0</v>
      </c>
      <c r="K287" s="25">
        <f t="shared" ca="1" si="24"/>
        <v>0</v>
      </c>
      <c r="L287" s="25">
        <f t="shared" ca="1" si="25"/>
        <v>0</v>
      </c>
      <c r="M287" s="26">
        <f t="shared" ca="1" si="26"/>
        <v>0</v>
      </c>
      <c r="N287" s="26">
        <f t="shared" ca="1" si="27"/>
        <v>0</v>
      </c>
      <c r="O287" s="22" t="str">
        <f ca="1">IF(E287=0,IF(K287&gt;0,"Cluster sans capacite provisionnee","n/a"),IF(OR(M287&gt;=Clusters_ROKS!$AC$5,N287&gt;=Clusters_ROKS!$AC$5),"Seuil depasse","OK"))</f>
        <v>OK</v>
      </c>
      <c r="P287" s="25">
        <f t="shared" ca="1" si="28"/>
        <v>0</v>
      </c>
      <c r="Q287" s="25">
        <f t="shared" ca="1" si="29"/>
        <v>0</v>
      </c>
      <c r="R287" s="24">
        <f ca="1">IF(AND(P287=0,Q287=0),0,IFERROR(MAX(ROUNDUP(P287/INDEX(tblClusters[vCPU / noeud (deduit)],MATCH($B287,tblClusters[Cluster],0)),0),ROUNDUP(Q287/INDEX(tblClusters[RAM / noeud - Go (deduit)],MATCH($B287,tblClusters[Cluster],0)),0)),"Flavor a definir"))</f>
        <v>0</v>
      </c>
    </row>
    <row r="288" spans="1:18" x14ac:dyDescent="0.2">
      <c r="A288" s="38">
        <v>46600</v>
      </c>
      <c r="B288" s="21" t="s">
        <v>200</v>
      </c>
      <c r="C288" s="28" t="str">
        <f>IFERROR(INDEX(tblClusters[Utilisation],MATCH($B288,tblClusters[Cluster],0)),"")</f>
        <v>JUMP AEP</v>
      </c>
      <c r="D288" s="28" t="str">
        <f>IFERROR(INDEX(tblClusters[Type (deduit)],MATCH($B288,tblClusters[Cluster],0)),"")</f>
        <v>Dedie</v>
      </c>
      <c r="E288" s="24">
        <f>IFERROR(INDEX(tblClusters[CPU max (cores)],MATCH($B288,tblClusters[Cluster],0)),0)</f>
        <v>384</v>
      </c>
      <c r="F288" s="24">
        <f>IFERROR(INDEX(tblClusters[RAM max (Go)],MATCH($B288,tblClusters[Cluster],0)),0)</f>
        <v>3072</v>
      </c>
      <c r="G288" s="24">
        <f>IFERROR(INDEX(tblClusters[Charge existante CPU hors migration],MATCH($B288,tblClusters[Cluster],0)),0)</f>
        <v>0</v>
      </c>
      <c r="H288" s="24">
        <f>IFERROR(INDEX(tblClusters[Charge existante RAM hors migration (Go)],MATCH($B288,tblClusters[Cluster],0)),0)</f>
        <v>0</v>
      </c>
      <c r="I288" s="24">
        <f ca="1">SUMIFS(tblApplications[CPU cible ROKS],tblApplications[Cluster ROKS cible (auto)],$B288,tblApplications[Mois de bascule prevu],"&lt;="&amp;EOMONTH($A288,0),tblApplications[Inclus projection O/N],"O")</f>
        <v>0</v>
      </c>
      <c r="J288" s="24">
        <f ca="1">SUMIFS(tblApplications[RAM cible ROKS],tblApplications[Cluster ROKS cible (auto)],$B288,tblApplications[Mois de bascule prevu],"&lt;="&amp;EOMONTH($A288,0),tblApplications[Inclus projection O/N],"O")</f>
        <v>0</v>
      </c>
      <c r="K288" s="25">
        <f t="shared" ca="1" si="24"/>
        <v>0</v>
      </c>
      <c r="L288" s="25">
        <f t="shared" ca="1" si="25"/>
        <v>0</v>
      </c>
      <c r="M288" s="26">
        <f t="shared" ca="1" si="26"/>
        <v>0</v>
      </c>
      <c r="N288" s="26">
        <f t="shared" ca="1" si="27"/>
        <v>0</v>
      </c>
      <c r="O288" s="22" t="str">
        <f ca="1">IF(E288=0,IF(K288&gt;0,"Cluster sans capacite provisionnee","n/a"),IF(OR(M288&gt;=Clusters_ROKS!$AC$5,N288&gt;=Clusters_ROKS!$AC$5),"Seuil depasse","OK"))</f>
        <v>OK</v>
      </c>
      <c r="P288" s="25">
        <f t="shared" ca="1" si="28"/>
        <v>0</v>
      </c>
      <c r="Q288" s="25">
        <f t="shared" ca="1" si="29"/>
        <v>0</v>
      </c>
      <c r="R288" s="24">
        <f ca="1">IF(AND(P288=0,Q288=0),0,IFERROR(MAX(ROUNDUP(P288/INDEX(tblClusters[vCPU / noeud (deduit)],MATCH($B288,tblClusters[Cluster],0)),0),ROUNDUP(Q288/INDEX(tblClusters[RAM / noeud - Go (deduit)],MATCH($B288,tblClusters[Cluster],0)),0)),"Flavor a definir"))</f>
        <v>0</v>
      </c>
    </row>
    <row r="289" spans="1:18" x14ac:dyDescent="0.2">
      <c r="A289" s="38">
        <v>46631</v>
      </c>
      <c r="B289" s="21" t="s">
        <v>200</v>
      </c>
      <c r="C289" s="28" t="str">
        <f>IFERROR(INDEX(tblClusters[Utilisation],MATCH($B289,tblClusters[Cluster],0)),"")</f>
        <v>JUMP AEP</v>
      </c>
      <c r="D289" s="28" t="str">
        <f>IFERROR(INDEX(tblClusters[Type (deduit)],MATCH($B289,tblClusters[Cluster],0)),"")</f>
        <v>Dedie</v>
      </c>
      <c r="E289" s="24">
        <f>IFERROR(INDEX(tblClusters[CPU max (cores)],MATCH($B289,tblClusters[Cluster],0)),0)</f>
        <v>384</v>
      </c>
      <c r="F289" s="24">
        <f>IFERROR(INDEX(tblClusters[RAM max (Go)],MATCH($B289,tblClusters[Cluster],0)),0)</f>
        <v>3072</v>
      </c>
      <c r="G289" s="24">
        <f>IFERROR(INDEX(tblClusters[Charge existante CPU hors migration],MATCH($B289,tblClusters[Cluster],0)),0)</f>
        <v>0</v>
      </c>
      <c r="H289" s="24">
        <f>IFERROR(INDEX(tblClusters[Charge existante RAM hors migration (Go)],MATCH($B289,tblClusters[Cluster],0)),0)</f>
        <v>0</v>
      </c>
      <c r="I289" s="24">
        <f ca="1">SUMIFS(tblApplications[CPU cible ROKS],tblApplications[Cluster ROKS cible (auto)],$B289,tblApplications[Mois de bascule prevu],"&lt;="&amp;EOMONTH($A289,0),tblApplications[Inclus projection O/N],"O")</f>
        <v>0</v>
      </c>
      <c r="J289" s="24">
        <f ca="1">SUMIFS(tblApplications[RAM cible ROKS],tblApplications[Cluster ROKS cible (auto)],$B289,tblApplications[Mois de bascule prevu],"&lt;="&amp;EOMONTH($A289,0),tblApplications[Inclus projection O/N],"O")</f>
        <v>0</v>
      </c>
      <c r="K289" s="25">
        <f t="shared" ca="1" si="24"/>
        <v>0</v>
      </c>
      <c r="L289" s="25">
        <f t="shared" ca="1" si="25"/>
        <v>0</v>
      </c>
      <c r="M289" s="26">
        <f t="shared" ca="1" si="26"/>
        <v>0</v>
      </c>
      <c r="N289" s="26">
        <f t="shared" ca="1" si="27"/>
        <v>0</v>
      </c>
      <c r="O289" s="22" t="str">
        <f ca="1">IF(E289=0,IF(K289&gt;0,"Cluster sans capacite provisionnee","n/a"),IF(OR(M289&gt;=Clusters_ROKS!$AC$5,N289&gt;=Clusters_ROKS!$AC$5),"Seuil depasse","OK"))</f>
        <v>OK</v>
      </c>
      <c r="P289" s="25">
        <f t="shared" ca="1" si="28"/>
        <v>0</v>
      </c>
      <c r="Q289" s="25">
        <f t="shared" ca="1" si="29"/>
        <v>0</v>
      </c>
      <c r="R289" s="24">
        <f ca="1">IF(AND(P289=0,Q289=0),0,IFERROR(MAX(ROUNDUP(P289/INDEX(tblClusters[vCPU / noeud (deduit)],MATCH($B289,tblClusters[Cluster],0)),0),ROUNDUP(Q289/INDEX(tblClusters[RAM / noeud - Go (deduit)],MATCH($B289,tblClusters[Cluster],0)),0)),"Flavor a definir"))</f>
        <v>0</v>
      </c>
    </row>
    <row r="290" spans="1:18" x14ac:dyDescent="0.2">
      <c r="A290" s="38">
        <v>46661</v>
      </c>
      <c r="B290" s="21" t="s">
        <v>200</v>
      </c>
      <c r="C290" s="28" t="str">
        <f>IFERROR(INDEX(tblClusters[Utilisation],MATCH($B290,tblClusters[Cluster],0)),"")</f>
        <v>JUMP AEP</v>
      </c>
      <c r="D290" s="28" t="str">
        <f>IFERROR(INDEX(tblClusters[Type (deduit)],MATCH($B290,tblClusters[Cluster],0)),"")</f>
        <v>Dedie</v>
      </c>
      <c r="E290" s="24">
        <f>IFERROR(INDEX(tblClusters[CPU max (cores)],MATCH($B290,tblClusters[Cluster],0)),0)</f>
        <v>384</v>
      </c>
      <c r="F290" s="24">
        <f>IFERROR(INDEX(tblClusters[RAM max (Go)],MATCH($B290,tblClusters[Cluster],0)),0)</f>
        <v>3072</v>
      </c>
      <c r="G290" s="24">
        <f>IFERROR(INDEX(tblClusters[Charge existante CPU hors migration],MATCH($B290,tblClusters[Cluster],0)),0)</f>
        <v>0</v>
      </c>
      <c r="H290" s="24">
        <f>IFERROR(INDEX(tblClusters[Charge existante RAM hors migration (Go)],MATCH($B290,tblClusters[Cluster],0)),0)</f>
        <v>0</v>
      </c>
      <c r="I290" s="24">
        <f ca="1">SUMIFS(tblApplications[CPU cible ROKS],tblApplications[Cluster ROKS cible (auto)],$B290,tblApplications[Mois de bascule prevu],"&lt;="&amp;EOMONTH($A290,0),tblApplications[Inclus projection O/N],"O")</f>
        <v>0</v>
      </c>
      <c r="J290" s="24">
        <f ca="1">SUMIFS(tblApplications[RAM cible ROKS],tblApplications[Cluster ROKS cible (auto)],$B290,tblApplications[Mois de bascule prevu],"&lt;="&amp;EOMONTH($A290,0),tblApplications[Inclus projection O/N],"O")</f>
        <v>0</v>
      </c>
      <c r="K290" s="25">
        <f t="shared" ca="1" si="24"/>
        <v>0</v>
      </c>
      <c r="L290" s="25">
        <f t="shared" ca="1" si="25"/>
        <v>0</v>
      </c>
      <c r="M290" s="26">
        <f t="shared" ca="1" si="26"/>
        <v>0</v>
      </c>
      <c r="N290" s="26">
        <f t="shared" ca="1" si="27"/>
        <v>0</v>
      </c>
      <c r="O290" s="22" t="str">
        <f ca="1">IF(E290=0,IF(K290&gt;0,"Cluster sans capacite provisionnee","n/a"),IF(OR(M290&gt;=Clusters_ROKS!$AC$5,N290&gt;=Clusters_ROKS!$AC$5),"Seuil depasse","OK"))</f>
        <v>OK</v>
      </c>
      <c r="P290" s="25">
        <f t="shared" ca="1" si="28"/>
        <v>0</v>
      </c>
      <c r="Q290" s="25">
        <f t="shared" ca="1" si="29"/>
        <v>0</v>
      </c>
      <c r="R290" s="24">
        <f ca="1">IF(AND(P290=0,Q290=0),0,IFERROR(MAX(ROUNDUP(P290/INDEX(tblClusters[vCPU / noeud (deduit)],MATCH($B290,tblClusters[Cluster],0)),0),ROUNDUP(Q290/INDEX(tblClusters[RAM / noeud - Go (deduit)],MATCH($B290,tblClusters[Cluster],0)),0)),"Flavor a definir"))</f>
        <v>0</v>
      </c>
    </row>
    <row r="291" spans="1:18" x14ac:dyDescent="0.2">
      <c r="A291" s="38">
        <v>46692</v>
      </c>
      <c r="B291" s="21" t="s">
        <v>200</v>
      </c>
      <c r="C291" s="28" t="str">
        <f>IFERROR(INDEX(tblClusters[Utilisation],MATCH($B291,tblClusters[Cluster],0)),"")</f>
        <v>JUMP AEP</v>
      </c>
      <c r="D291" s="28" t="str">
        <f>IFERROR(INDEX(tblClusters[Type (deduit)],MATCH($B291,tblClusters[Cluster],0)),"")</f>
        <v>Dedie</v>
      </c>
      <c r="E291" s="24">
        <f>IFERROR(INDEX(tblClusters[CPU max (cores)],MATCH($B291,tblClusters[Cluster],0)),0)</f>
        <v>384</v>
      </c>
      <c r="F291" s="24">
        <f>IFERROR(INDEX(tblClusters[RAM max (Go)],MATCH($B291,tblClusters[Cluster],0)),0)</f>
        <v>3072</v>
      </c>
      <c r="G291" s="24">
        <f>IFERROR(INDEX(tblClusters[Charge existante CPU hors migration],MATCH($B291,tblClusters[Cluster],0)),0)</f>
        <v>0</v>
      </c>
      <c r="H291" s="24">
        <f>IFERROR(INDEX(tblClusters[Charge existante RAM hors migration (Go)],MATCH($B291,tblClusters[Cluster],0)),0)</f>
        <v>0</v>
      </c>
      <c r="I291" s="24">
        <f ca="1">SUMIFS(tblApplications[CPU cible ROKS],tblApplications[Cluster ROKS cible (auto)],$B291,tblApplications[Mois de bascule prevu],"&lt;="&amp;EOMONTH($A291,0),tblApplications[Inclus projection O/N],"O")</f>
        <v>0</v>
      </c>
      <c r="J291" s="24">
        <f ca="1">SUMIFS(tblApplications[RAM cible ROKS],tblApplications[Cluster ROKS cible (auto)],$B291,tblApplications[Mois de bascule prevu],"&lt;="&amp;EOMONTH($A291,0),tblApplications[Inclus projection O/N],"O")</f>
        <v>0</v>
      </c>
      <c r="K291" s="25">
        <f t="shared" ca="1" si="24"/>
        <v>0</v>
      </c>
      <c r="L291" s="25">
        <f t="shared" ca="1" si="25"/>
        <v>0</v>
      </c>
      <c r="M291" s="26">
        <f t="shared" ca="1" si="26"/>
        <v>0</v>
      </c>
      <c r="N291" s="26">
        <f t="shared" ca="1" si="27"/>
        <v>0</v>
      </c>
      <c r="O291" s="22" t="str">
        <f ca="1">IF(E291=0,IF(K291&gt;0,"Cluster sans capacite provisionnee","n/a"),IF(OR(M291&gt;=Clusters_ROKS!$AC$5,N291&gt;=Clusters_ROKS!$AC$5),"Seuil depasse","OK"))</f>
        <v>OK</v>
      </c>
      <c r="P291" s="25">
        <f t="shared" ca="1" si="28"/>
        <v>0</v>
      </c>
      <c r="Q291" s="25">
        <f t="shared" ca="1" si="29"/>
        <v>0</v>
      </c>
      <c r="R291" s="24">
        <f ca="1">IF(AND(P291=0,Q291=0),0,IFERROR(MAX(ROUNDUP(P291/INDEX(tblClusters[vCPU / noeud (deduit)],MATCH($B291,tblClusters[Cluster],0)),0),ROUNDUP(Q291/INDEX(tblClusters[RAM / noeud - Go (deduit)],MATCH($B291,tblClusters[Cluster],0)),0)),"Flavor a definir"))</f>
        <v>0</v>
      </c>
    </row>
    <row r="292" spans="1:18" x14ac:dyDescent="0.2">
      <c r="A292" s="38">
        <v>46722</v>
      </c>
      <c r="B292" s="21" t="s">
        <v>200</v>
      </c>
      <c r="C292" s="28" t="str">
        <f>IFERROR(INDEX(tblClusters[Utilisation],MATCH($B292,tblClusters[Cluster],0)),"")</f>
        <v>JUMP AEP</v>
      </c>
      <c r="D292" s="28" t="str">
        <f>IFERROR(INDEX(tblClusters[Type (deduit)],MATCH($B292,tblClusters[Cluster],0)),"")</f>
        <v>Dedie</v>
      </c>
      <c r="E292" s="24">
        <f>IFERROR(INDEX(tblClusters[CPU max (cores)],MATCH($B292,tblClusters[Cluster],0)),0)</f>
        <v>384</v>
      </c>
      <c r="F292" s="24">
        <f>IFERROR(INDEX(tblClusters[RAM max (Go)],MATCH($B292,tblClusters[Cluster],0)),0)</f>
        <v>3072</v>
      </c>
      <c r="G292" s="24">
        <f>IFERROR(INDEX(tblClusters[Charge existante CPU hors migration],MATCH($B292,tblClusters[Cluster],0)),0)</f>
        <v>0</v>
      </c>
      <c r="H292" s="24">
        <f>IFERROR(INDEX(tblClusters[Charge existante RAM hors migration (Go)],MATCH($B292,tblClusters[Cluster],0)),0)</f>
        <v>0</v>
      </c>
      <c r="I292" s="24">
        <f ca="1">SUMIFS(tblApplications[CPU cible ROKS],tblApplications[Cluster ROKS cible (auto)],$B292,tblApplications[Mois de bascule prevu],"&lt;="&amp;EOMONTH($A292,0),tblApplications[Inclus projection O/N],"O")</f>
        <v>0</v>
      </c>
      <c r="J292" s="24">
        <f ca="1">SUMIFS(tblApplications[RAM cible ROKS],tblApplications[Cluster ROKS cible (auto)],$B292,tblApplications[Mois de bascule prevu],"&lt;="&amp;EOMONTH($A292,0),tblApplications[Inclus projection O/N],"O")</f>
        <v>0</v>
      </c>
      <c r="K292" s="25">
        <f t="shared" ca="1" si="24"/>
        <v>0</v>
      </c>
      <c r="L292" s="25">
        <f t="shared" ca="1" si="25"/>
        <v>0</v>
      </c>
      <c r="M292" s="26">
        <f t="shared" ca="1" si="26"/>
        <v>0</v>
      </c>
      <c r="N292" s="26">
        <f t="shared" ca="1" si="27"/>
        <v>0</v>
      </c>
      <c r="O292" s="22" t="str">
        <f ca="1">IF(E292=0,IF(K292&gt;0,"Cluster sans capacite provisionnee","n/a"),IF(OR(M292&gt;=Clusters_ROKS!$AC$5,N292&gt;=Clusters_ROKS!$AC$5),"Seuil depasse","OK"))</f>
        <v>OK</v>
      </c>
      <c r="P292" s="25">
        <f t="shared" ca="1" si="28"/>
        <v>0</v>
      </c>
      <c r="Q292" s="25">
        <f t="shared" ca="1" si="29"/>
        <v>0</v>
      </c>
      <c r="R292" s="24">
        <f ca="1">IF(AND(P292=0,Q292=0),0,IFERROR(MAX(ROUNDUP(P292/INDEX(tblClusters[vCPU / noeud (deduit)],MATCH($B292,tblClusters[Cluster],0)),0),ROUNDUP(Q292/INDEX(tblClusters[RAM / noeud - Go (deduit)],MATCH($B292,tblClusters[Cluster],0)),0)),"Flavor a definir"))</f>
        <v>0</v>
      </c>
    </row>
    <row r="293" spans="1:18" x14ac:dyDescent="0.2">
      <c r="A293" s="38">
        <v>46388</v>
      </c>
      <c r="B293" s="21" t="s">
        <v>202</v>
      </c>
      <c r="C293" s="28" t="str">
        <f>IFERROR(INDEX(tblClusters[Utilisation],MATCH($B293,tblClusters[Cluster],0)),"")</f>
        <v>JUMP CLV</v>
      </c>
      <c r="D293" s="28" t="str">
        <f>IFERROR(INDEX(tblClusters[Type (deduit)],MATCH($B293,tblClusters[Cluster],0)),"")</f>
        <v>Dedie</v>
      </c>
      <c r="E293" s="24">
        <f>IFERROR(INDEX(tblClusters[CPU max (cores)],MATCH($B293,tblClusters[Cluster],0)),0)</f>
        <v>192</v>
      </c>
      <c r="F293" s="24">
        <f>IFERROR(INDEX(tblClusters[RAM max (Go)],MATCH($B293,tblClusters[Cluster],0)),0)</f>
        <v>1536</v>
      </c>
      <c r="G293" s="24">
        <f>IFERROR(INDEX(tblClusters[Charge existante CPU hors migration],MATCH($B293,tblClusters[Cluster],0)),0)</f>
        <v>0</v>
      </c>
      <c r="H293" s="24">
        <f>IFERROR(INDEX(tblClusters[Charge existante RAM hors migration (Go)],MATCH($B293,tblClusters[Cluster],0)),0)</f>
        <v>0</v>
      </c>
      <c r="I293" s="24">
        <f ca="1">SUMIFS(tblApplications[CPU cible ROKS],tblApplications[Cluster ROKS cible (auto)],$B293,tblApplications[Mois de bascule prevu],"&lt;="&amp;EOMONTH($A293,0),tblApplications[Inclus projection O/N],"O")</f>
        <v>0</v>
      </c>
      <c r="J293" s="24">
        <f ca="1">SUMIFS(tblApplications[RAM cible ROKS],tblApplications[Cluster ROKS cible (auto)],$B293,tblApplications[Mois de bascule prevu],"&lt;="&amp;EOMONTH($A293,0),tblApplications[Inclus projection O/N],"O")</f>
        <v>0</v>
      </c>
      <c r="K293" s="25">
        <f t="shared" ca="1" si="24"/>
        <v>0</v>
      </c>
      <c r="L293" s="25">
        <f t="shared" ca="1" si="25"/>
        <v>0</v>
      </c>
      <c r="M293" s="26">
        <f t="shared" ca="1" si="26"/>
        <v>0</v>
      </c>
      <c r="N293" s="26">
        <f t="shared" ca="1" si="27"/>
        <v>0</v>
      </c>
      <c r="O293" s="22" t="str">
        <f ca="1">IF(E293=0,IF(K293&gt;0,"Cluster sans capacite provisionnee","n/a"),IF(OR(M293&gt;=Clusters_ROKS!$AC$5,N293&gt;=Clusters_ROKS!$AC$5),"Seuil depasse","OK"))</f>
        <v>OK</v>
      </c>
      <c r="P293" s="25">
        <f t="shared" ca="1" si="28"/>
        <v>0</v>
      </c>
      <c r="Q293" s="25">
        <f t="shared" ca="1" si="29"/>
        <v>0</v>
      </c>
      <c r="R293" s="24">
        <f ca="1">IF(AND(P293=0,Q293=0),0,IFERROR(MAX(ROUNDUP(P293/INDEX(tblClusters[vCPU / noeud (deduit)],MATCH($B293,tblClusters[Cluster],0)),0),ROUNDUP(Q293/INDEX(tblClusters[RAM / noeud - Go (deduit)],MATCH($B293,tblClusters[Cluster],0)),0)),"Flavor a definir"))</f>
        <v>0</v>
      </c>
    </row>
    <row r="294" spans="1:18" x14ac:dyDescent="0.2">
      <c r="A294" s="38">
        <v>46419</v>
      </c>
      <c r="B294" s="21" t="s">
        <v>202</v>
      </c>
      <c r="C294" s="28" t="str">
        <f>IFERROR(INDEX(tblClusters[Utilisation],MATCH($B294,tblClusters[Cluster],0)),"")</f>
        <v>JUMP CLV</v>
      </c>
      <c r="D294" s="28" t="str">
        <f>IFERROR(INDEX(tblClusters[Type (deduit)],MATCH($B294,tblClusters[Cluster],0)),"")</f>
        <v>Dedie</v>
      </c>
      <c r="E294" s="24">
        <f>IFERROR(INDEX(tblClusters[CPU max (cores)],MATCH($B294,tblClusters[Cluster],0)),0)</f>
        <v>192</v>
      </c>
      <c r="F294" s="24">
        <f>IFERROR(INDEX(tblClusters[RAM max (Go)],MATCH($B294,tblClusters[Cluster],0)),0)</f>
        <v>1536</v>
      </c>
      <c r="G294" s="24">
        <f>IFERROR(INDEX(tblClusters[Charge existante CPU hors migration],MATCH($B294,tblClusters[Cluster],0)),0)</f>
        <v>0</v>
      </c>
      <c r="H294" s="24">
        <f>IFERROR(INDEX(tblClusters[Charge existante RAM hors migration (Go)],MATCH($B294,tblClusters[Cluster],0)),0)</f>
        <v>0</v>
      </c>
      <c r="I294" s="24">
        <f ca="1">SUMIFS(tblApplications[CPU cible ROKS],tblApplications[Cluster ROKS cible (auto)],$B294,tblApplications[Mois de bascule prevu],"&lt;="&amp;EOMONTH($A294,0),tblApplications[Inclus projection O/N],"O")</f>
        <v>0</v>
      </c>
      <c r="J294" s="24">
        <f ca="1">SUMIFS(tblApplications[RAM cible ROKS],tblApplications[Cluster ROKS cible (auto)],$B294,tblApplications[Mois de bascule prevu],"&lt;="&amp;EOMONTH($A294,0),tblApplications[Inclus projection O/N],"O")</f>
        <v>0</v>
      </c>
      <c r="K294" s="25">
        <f t="shared" ca="1" si="24"/>
        <v>0</v>
      </c>
      <c r="L294" s="25">
        <f t="shared" ca="1" si="25"/>
        <v>0</v>
      </c>
      <c r="M294" s="26">
        <f t="shared" ca="1" si="26"/>
        <v>0</v>
      </c>
      <c r="N294" s="26">
        <f t="shared" ca="1" si="27"/>
        <v>0</v>
      </c>
      <c r="O294" s="22" t="str">
        <f ca="1">IF(E294=0,IF(K294&gt;0,"Cluster sans capacite provisionnee","n/a"),IF(OR(M294&gt;=Clusters_ROKS!$AC$5,N294&gt;=Clusters_ROKS!$AC$5),"Seuil depasse","OK"))</f>
        <v>OK</v>
      </c>
      <c r="P294" s="25">
        <f t="shared" ca="1" si="28"/>
        <v>0</v>
      </c>
      <c r="Q294" s="25">
        <f t="shared" ca="1" si="29"/>
        <v>0</v>
      </c>
      <c r="R294" s="24">
        <f ca="1">IF(AND(P294=0,Q294=0),0,IFERROR(MAX(ROUNDUP(P294/INDEX(tblClusters[vCPU / noeud (deduit)],MATCH($B294,tblClusters[Cluster],0)),0),ROUNDUP(Q294/INDEX(tblClusters[RAM / noeud - Go (deduit)],MATCH($B294,tblClusters[Cluster],0)),0)),"Flavor a definir"))</f>
        <v>0</v>
      </c>
    </row>
    <row r="295" spans="1:18" x14ac:dyDescent="0.2">
      <c r="A295" s="38">
        <v>46447</v>
      </c>
      <c r="B295" s="21" t="s">
        <v>202</v>
      </c>
      <c r="C295" s="28" t="str">
        <f>IFERROR(INDEX(tblClusters[Utilisation],MATCH($B295,tblClusters[Cluster],0)),"")</f>
        <v>JUMP CLV</v>
      </c>
      <c r="D295" s="28" t="str">
        <f>IFERROR(INDEX(tblClusters[Type (deduit)],MATCH($B295,tblClusters[Cluster],0)),"")</f>
        <v>Dedie</v>
      </c>
      <c r="E295" s="24">
        <f>IFERROR(INDEX(tblClusters[CPU max (cores)],MATCH($B295,tblClusters[Cluster],0)),0)</f>
        <v>192</v>
      </c>
      <c r="F295" s="24">
        <f>IFERROR(INDEX(tblClusters[RAM max (Go)],MATCH($B295,tblClusters[Cluster],0)),0)</f>
        <v>1536</v>
      </c>
      <c r="G295" s="24">
        <f>IFERROR(INDEX(tblClusters[Charge existante CPU hors migration],MATCH($B295,tblClusters[Cluster],0)),0)</f>
        <v>0</v>
      </c>
      <c r="H295" s="24">
        <f>IFERROR(INDEX(tblClusters[Charge existante RAM hors migration (Go)],MATCH($B295,tblClusters[Cluster],0)),0)</f>
        <v>0</v>
      </c>
      <c r="I295" s="24">
        <f ca="1">SUMIFS(tblApplications[CPU cible ROKS],tblApplications[Cluster ROKS cible (auto)],$B295,tblApplications[Mois de bascule prevu],"&lt;="&amp;EOMONTH($A295,0),tblApplications[Inclus projection O/N],"O")</f>
        <v>0</v>
      </c>
      <c r="J295" s="24">
        <f ca="1">SUMIFS(tblApplications[RAM cible ROKS],tblApplications[Cluster ROKS cible (auto)],$B295,tblApplications[Mois de bascule prevu],"&lt;="&amp;EOMONTH($A295,0),tblApplications[Inclus projection O/N],"O")</f>
        <v>0</v>
      </c>
      <c r="K295" s="25">
        <f t="shared" ca="1" si="24"/>
        <v>0</v>
      </c>
      <c r="L295" s="25">
        <f t="shared" ca="1" si="25"/>
        <v>0</v>
      </c>
      <c r="M295" s="26">
        <f t="shared" ca="1" si="26"/>
        <v>0</v>
      </c>
      <c r="N295" s="26">
        <f t="shared" ca="1" si="27"/>
        <v>0</v>
      </c>
      <c r="O295" s="22" t="str">
        <f ca="1">IF(E295=0,IF(K295&gt;0,"Cluster sans capacite provisionnee","n/a"),IF(OR(M295&gt;=Clusters_ROKS!$AC$5,N295&gt;=Clusters_ROKS!$AC$5),"Seuil depasse","OK"))</f>
        <v>OK</v>
      </c>
      <c r="P295" s="25">
        <f t="shared" ca="1" si="28"/>
        <v>0</v>
      </c>
      <c r="Q295" s="25">
        <f t="shared" ca="1" si="29"/>
        <v>0</v>
      </c>
      <c r="R295" s="24">
        <f ca="1">IF(AND(P295=0,Q295=0),0,IFERROR(MAX(ROUNDUP(P295/INDEX(tblClusters[vCPU / noeud (deduit)],MATCH($B295,tblClusters[Cluster],0)),0),ROUNDUP(Q295/INDEX(tblClusters[RAM / noeud - Go (deduit)],MATCH($B295,tblClusters[Cluster],0)),0)),"Flavor a definir"))</f>
        <v>0</v>
      </c>
    </row>
    <row r="296" spans="1:18" x14ac:dyDescent="0.2">
      <c r="A296" s="38">
        <v>46478</v>
      </c>
      <c r="B296" s="21" t="s">
        <v>202</v>
      </c>
      <c r="C296" s="28" t="str">
        <f>IFERROR(INDEX(tblClusters[Utilisation],MATCH($B296,tblClusters[Cluster],0)),"")</f>
        <v>JUMP CLV</v>
      </c>
      <c r="D296" s="28" t="str">
        <f>IFERROR(INDEX(tblClusters[Type (deduit)],MATCH($B296,tblClusters[Cluster],0)),"")</f>
        <v>Dedie</v>
      </c>
      <c r="E296" s="24">
        <f>IFERROR(INDEX(tblClusters[CPU max (cores)],MATCH($B296,tblClusters[Cluster],0)),0)</f>
        <v>192</v>
      </c>
      <c r="F296" s="24">
        <f>IFERROR(INDEX(tblClusters[RAM max (Go)],MATCH($B296,tblClusters[Cluster],0)),0)</f>
        <v>1536</v>
      </c>
      <c r="G296" s="24">
        <f>IFERROR(INDEX(tblClusters[Charge existante CPU hors migration],MATCH($B296,tblClusters[Cluster],0)),0)</f>
        <v>0</v>
      </c>
      <c r="H296" s="24">
        <f>IFERROR(INDEX(tblClusters[Charge existante RAM hors migration (Go)],MATCH($B296,tblClusters[Cluster],0)),0)</f>
        <v>0</v>
      </c>
      <c r="I296" s="24">
        <f ca="1">SUMIFS(tblApplications[CPU cible ROKS],tblApplications[Cluster ROKS cible (auto)],$B296,tblApplications[Mois de bascule prevu],"&lt;="&amp;EOMONTH($A296,0),tblApplications[Inclus projection O/N],"O")</f>
        <v>0</v>
      </c>
      <c r="J296" s="24">
        <f ca="1">SUMIFS(tblApplications[RAM cible ROKS],tblApplications[Cluster ROKS cible (auto)],$B296,tblApplications[Mois de bascule prevu],"&lt;="&amp;EOMONTH($A296,0),tblApplications[Inclus projection O/N],"O")</f>
        <v>0</v>
      </c>
      <c r="K296" s="25">
        <f t="shared" ca="1" si="24"/>
        <v>0</v>
      </c>
      <c r="L296" s="25">
        <f t="shared" ca="1" si="25"/>
        <v>0</v>
      </c>
      <c r="M296" s="26">
        <f t="shared" ca="1" si="26"/>
        <v>0</v>
      </c>
      <c r="N296" s="26">
        <f t="shared" ca="1" si="27"/>
        <v>0</v>
      </c>
      <c r="O296" s="22" t="str">
        <f ca="1">IF(E296=0,IF(K296&gt;0,"Cluster sans capacite provisionnee","n/a"),IF(OR(M296&gt;=Clusters_ROKS!$AC$5,N296&gt;=Clusters_ROKS!$AC$5),"Seuil depasse","OK"))</f>
        <v>OK</v>
      </c>
      <c r="P296" s="25">
        <f t="shared" ca="1" si="28"/>
        <v>0</v>
      </c>
      <c r="Q296" s="25">
        <f t="shared" ca="1" si="29"/>
        <v>0</v>
      </c>
      <c r="R296" s="24">
        <f ca="1">IF(AND(P296=0,Q296=0),0,IFERROR(MAX(ROUNDUP(P296/INDEX(tblClusters[vCPU / noeud (deduit)],MATCH($B296,tblClusters[Cluster],0)),0),ROUNDUP(Q296/INDEX(tblClusters[RAM / noeud - Go (deduit)],MATCH($B296,tblClusters[Cluster],0)),0)),"Flavor a definir"))</f>
        <v>0</v>
      </c>
    </row>
    <row r="297" spans="1:18" x14ac:dyDescent="0.2">
      <c r="A297" s="38">
        <v>46508</v>
      </c>
      <c r="B297" s="21" t="s">
        <v>202</v>
      </c>
      <c r="C297" s="28" t="str">
        <f>IFERROR(INDEX(tblClusters[Utilisation],MATCH($B297,tblClusters[Cluster],0)),"")</f>
        <v>JUMP CLV</v>
      </c>
      <c r="D297" s="28" t="str">
        <f>IFERROR(INDEX(tblClusters[Type (deduit)],MATCH($B297,tblClusters[Cluster],0)),"")</f>
        <v>Dedie</v>
      </c>
      <c r="E297" s="24">
        <f>IFERROR(INDEX(tblClusters[CPU max (cores)],MATCH($B297,tblClusters[Cluster],0)),0)</f>
        <v>192</v>
      </c>
      <c r="F297" s="24">
        <f>IFERROR(INDEX(tblClusters[RAM max (Go)],MATCH($B297,tblClusters[Cluster],0)),0)</f>
        <v>1536</v>
      </c>
      <c r="G297" s="24">
        <f>IFERROR(INDEX(tblClusters[Charge existante CPU hors migration],MATCH($B297,tblClusters[Cluster],0)),0)</f>
        <v>0</v>
      </c>
      <c r="H297" s="24">
        <f>IFERROR(INDEX(tblClusters[Charge existante RAM hors migration (Go)],MATCH($B297,tblClusters[Cluster],0)),0)</f>
        <v>0</v>
      </c>
      <c r="I297" s="24">
        <f ca="1">SUMIFS(tblApplications[CPU cible ROKS],tblApplications[Cluster ROKS cible (auto)],$B297,tblApplications[Mois de bascule prevu],"&lt;="&amp;EOMONTH($A297,0),tblApplications[Inclus projection O/N],"O")</f>
        <v>0</v>
      </c>
      <c r="J297" s="24">
        <f ca="1">SUMIFS(tblApplications[RAM cible ROKS],tblApplications[Cluster ROKS cible (auto)],$B297,tblApplications[Mois de bascule prevu],"&lt;="&amp;EOMONTH($A297,0),tblApplications[Inclus projection O/N],"O")</f>
        <v>0</v>
      </c>
      <c r="K297" s="25">
        <f t="shared" ca="1" si="24"/>
        <v>0</v>
      </c>
      <c r="L297" s="25">
        <f t="shared" ca="1" si="25"/>
        <v>0</v>
      </c>
      <c r="M297" s="26">
        <f t="shared" ca="1" si="26"/>
        <v>0</v>
      </c>
      <c r="N297" s="26">
        <f t="shared" ca="1" si="27"/>
        <v>0</v>
      </c>
      <c r="O297" s="22" t="str">
        <f ca="1">IF(E297=0,IF(K297&gt;0,"Cluster sans capacite provisionnee","n/a"),IF(OR(M297&gt;=Clusters_ROKS!$AC$5,N297&gt;=Clusters_ROKS!$AC$5),"Seuil depasse","OK"))</f>
        <v>OK</v>
      </c>
      <c r="P297" s="25">
        <f t="shared" ca="1" si="28"/>
        <v>0</v>
      </c>
      <c r="Q297" s="25">
        <f t="shared" ca="1" si="29"/>
        <v>0</v>
      </c>
      <c r="R297" s="24">
        <f ca="1">IF(AND(P297=0,Q297=0),0,IFERROR(MAX(ROUNDUP(P297/INDEX(tblClusters[vCPU / noeud (deduit)],MATCH($B297,tblClusters[Cluster],0)),0),ROUNDUP(Q297/INDEX(tblClusters[RAM / noeud - Go (deduit)],MATCH($B297,tblClusters[Cluster],0)),0)),"Flavor a definir"))</f>
        <v>0</v>
      </c>
    </row>
    <row r="298" spans="1:18" x14ac:dyDescent="0.2">
      <c r="A298" s="38">
        <v>46539</v>
      </c>
      <c r="B298" s="21" t="s">
        <v>202</v>
      </c>
      <c r="C298" s="28" t="str">
        <f>IFERROR(INDEX(tblClusters[Utilisation],MATCH($B298,tblClusters[Cluster],0)),"")</f>
        <v>JUMP CLV</v>
      </c>
      <c r="D298" s="28" t="str">
        <f>IFERROR(INDEX(tblClusters[Type (deduit)],MATCH($B298,tblClusters[Cluster],0)),"")</f>
        <v>Dedie</v>
      </c>
      <c r="E298" s="24">
        <f>IFERROR(INDEX(tblClusters[CPU max (cores)],MATCH($B298,tblClusters[Cluster],0)),0)</f>
        <v>192</v>
      </c>
      <c r="F298" s="24">
        <f>IFERROR(INDEX(tblClusters[RAM max (Go)],MATCH($B298,tblClusters[Cluster],0)),0)</f>
        <v>1536</v>
      </c>
      <c r="G298" s="24">
        <f>IFERROR(INDEX(tblClusters[Charge existante CPU hors migration],MATCH($B298,tblClusters[Cluster],0)),0)</f>
        <v>0</v>
      </c>
      <c r="H298" s="24">
        <f>IFERROR(INDEX(tblClusters[Charge existante RAM hors migration (Go)],MATCH($B298,tblClusters[Cluster],0)),0)</f>
        <v>0</v>
      </c>
      <c r="I298" s="24">
        <f ca="1">SUMIFS(tblApplications[CPU cible ROKS],tblApplications[Cluster ROKS cible (auto)],$B298,tblApplications[Mois de bascule prevu],"&lt;="&amp;EOMONTH($A298,0),tblApplications[Inclus projection O/N],"O")</f>
        <v>0</v>
      </c>
      <c r="J298" s="24">
        <f ca="1">SUMIFS(tblApplications[RAM cible ROKS],tblApplications[Cluster ROKS cible (auto)],$B298,tblApplications[Mois de bascule prevu],"&lt;="&amp;EOMONTH($A298,0),tblApplications[Inclus projection O/N],"O")</f>
        <v>0</v>
      </c>
      <c r="K298" s="25">
        <f t="shared" ca="1" si="24"/>
        <v>0</v>
      </c>
      <c r="L298" s="25">
        <f t="shared" ca="1" si="25"/>
        <v>0</v>
      </c>
      <c r="M298" s="26">
        <f t="shared" ca="1" si="26"/>
        <v>0</v>
      </c>
      <c r="N298" s="26">
        <f t="shared" ca="1" si="27"/>
        <v>0</v>
      </c>
      <c r="O298" s="22" t="str">
        <f ca="1">IF(E298=0,IF(K298&gt;0,"Cluster sans capacite provisionnee","n/a"),IF(OR(M298&gt;=Clusters_ROKS!$AC$5,N298&gt;=Clusters_ROKS!$AC$5),"Seuil depasse","OK"))</f>
        <v>OK</v>
      </c>
      <c r="P298" s="25">
        <f t="shared" ca="1" si="28"/>
        <v>0</v>
      </c>
      <c r="Q298" s="25">
        <f t="shared" ca="1" si="29"/>
        <v>0</v>
      </c>
      <c r="R298" s="24">
        <f ca="1">IF(AND(P298=0,Q298=0),0,IFERROR(MAX(ROUNDUP(P298/INDEX(tblClusters[vCPU / noeud (deduit)],MATCH($B298,tblClusters[Cluster],0)),0),ROUNDUP(Q298/INDEX(tblClusters[RAM / noeud - Go (deduit)],MATCH($B298,tblClusters[Cluster],0)),0)),"Flavor a definir"))</f>
        <v>0</v>
      </c>
    </row>
    <row r="299" spans="1:18" x14ac:dyDescent="0.2">
      <c r="A299" s="38">
        <v>46569</v>
      </c>
      <c r="B299" s="21" t="s">
        <v>202</v>
      </c>
      <c r="C299" s="28" t="str">
        <f>IFERROR(INDEX(tblClusters[Utilisation],MATCH($B299,tblClusters[Cluster],0)),"")</f>
        <v>JUMP CLV</v>
      </c>
      <c r="D299" s="28" t="str">
        <f>IFERROR(INDEX(tblClusters[Type (deduit)],MATCH($B299,tblClusters[Cluster],0)),"")</f>
        <v>Dedie</v>
      </c>
      <c r="E299" s="24">
        <f>IFERROR(INDEX(tblClusters[CPU max (cores)],MATCH($B299,tblClusters[Cluster],0)),0)</f>
        <v>192</v>
      </c>
      <c r="F299" s="24">
        <f>IFERROR(INDEX(tblClusters[RAM max (Go)],MATCH($B299,tblClusters[Cluster],0)),0)</f>
        <v>1536</v>
      </c>
      <c r="G299" s="24">
        <f>IFERROR(INDEX(tblClusters[Charge existante CPU hors migration],MATCH($B299,tblClusters[Cluster],0)),0)</f>
        <v>0</v>
      </c>
      <c r="H299" s="24">
        <f>IFERROR(INDEX(tblClusters[Charge existante RAM hors migration (Go)],MATCH($B299,tblClusters[Cluster],0)),0)</f>
        <v>0</v>
      </c>
      <c r="I299" s="24">
        <f ca="1">SUMIFS(tblApplications[CPU cible ROKS],tblApplications[Cluster ROKS cible (auto)],$B299,tblApplications[Mois de bascule prevu],"&lt;="&amp;EOMONTH($A299,0),tblApplications[Inclus projection O/N],"O")</f>
        <v>0</v>
      </c>
      <c r="J299" s="24">
        <f ca="1">SUMIFS(tblApplications[RAM cible ROKS],tblApplications[Cluster ROKS cible (auto)],$B299,tblApplications[Mois de bascule prevu],"&lt;="&amp;EOMONTH($A299,0),tblApplications[Inclus projection O/N],"O")</f>
        <v>0</v>
      </c>
      <c r="K299" s="25">
        <f t="shared" ca="1" si="24"/>
        <v>0</v>
      </c>
      <c r="L299" s="25">
        <f t="shared" ca="1" si="25"/>
        <v>0</v>
      </c>
      <c r="M299" s="26">
        <f t="shared" ca="1" si="26"/>
        <v>0</v>
      </c>
      <c r="N299" s="26">
        <f t="shared" ca="1" si="27"/>
        <v>0</v>
      </c>
      <c r="O299" s="22" t="str">
        <f ca="1">IF(E299=0,IF(K299&gt;0,"Cluster sans capacite provisionnee","n/a"),IF(OR(M299&gt;=Clusters_ROKS!$AC$5,N299&gt;=Clusters_ROKS!$AC$5),"Seuil depasse","OK"))</f>
        <v>OK</v>
      </c>
      <c r="P299" s="25">
        <f t="shared" ca="1" si="28"/>
        <v>0</v>
      </c>
      <c r="Q299" s="25">
        <f t="shared" ca="1" si="29"/>
        <v>0</v>
      </c>
      <c r="R299" s="24">
        <f ca="1">IF(AND(P299=0,Q299=0),0,IFERROR(MAX(ROUNDUP(P299/INDEX(tblClusters[vCPU / noeud (deduit)],MATCH($B299,tblClusters[Cluster],0)),0),ROUNDUP(Q299/INDEX(tblClusters[RAM / noeud - Go (deduit)],MATCH($B299,tblClusters[Cluster],0)),0)),"Flavor a definir"))</f>
        <v>0</v>
      </c>
    </row>
    <row r="300" spans="1:18" x14ac:dyDescent="0.2">
      <c r="A300" s="38">
        <v>46600</v>
      </c>
      <c r="B300" s="21" t="s">
        <v>202</v>
      </c>
      <c r="C300" s="28" t="str">
        <f>IFERROR(INDEX(tblClusters[Utilisation],MATCH($B300,tblClusters[Cluster],0)),"")</f>
        <v>JUMP CLV</v>
      </c>
      <c r="D300" s="28" t="str">
        <f>IFERROR(INDEX(tblClusters[Type (deduit)],MATCH($B300,tblClusters[Cluster],0)),"")</f>
        <v>Dedie</v>
      </c>
      <c r="E300" s="24">
        <f>IFERROR(INDEX(tblClusters[CPU max (cores)],MATCH($B300,tblClusters[Cluster],0)),0)</f>
        <v>192</v>
      </c>
      <c r="F300" s="24">
        <f>IFERROR(INDEX(tblClusters[RAM max (Go)],MATCH($B300,tblClusters[Cluster],0)),0)</f>
        <v>1536</v>
      </c>
      <c r="G300" s="24">
        <f>IFERROR(INDEX(tblClusters[Charge existante CPU hors migration],MATCH($B300,tblClusters[Cluster],0)),0)</f>
        <v>0</v>
      </c>
      <c r="H300" s="24">
        <f>IFERROR(INDEX(tblClusters[Charge existante RAM hors migration (Go)],MATCH($B300,tblClusters[Cluster],0)),0)</f>
        <v>0</v>
      </c>
      <c r="I300" s="24">
        <f ca="1">SUMIFS(tblApplications[CPU cible ROKS],tblApplications[Cluster ROKS cible (auto)],$B300,tblApplications[Mois de bascule prevu],"&lt;="&amp;EOMONTH($A300,0),tblApplications[Inclus projection O/N],"O")</f>
        <v>0</v>
      </c>
      <c r="J300" s="24">
        <f ca="1">SUMIFS(tblApplications[RAM cible ROKS],tblApplications[Cluster ROKS cible (auto)],$B300,tblApplications[Mois de bascule prevu],"&lt;="&amp;EOMONTH($A300,0),tblApplications[Inclus projection O/N],"O")</f>
        <v>0</v>
      </c>
      <c r="K300" s="25">
        <f t="shared" ca="1" si="24"/>
        <v>0</v>
      </c>
      <c r="L300" s="25">
        <f t="shared" ca="1" si="25"/>
        <v>0</v>
      </c>
      <c r="M300" s="26">
        <f t="shared" ca="1" si="26"/>
        <v>0</v>
      </c>
      <c r="N300" s="26">
        <f t="shared" ca="1" si="27"/>
        <v>0</v>
      </c>
      <c r="O300" s="22" t="str">
        <f ca="1">IF(E300=0,IF(K300&gt;0,"Cluster sans capacite provisionnee","n/a"),IF(OR(M300&gt;=Clusters_ROKS!$AC$5,N300&gt;=Clusters_ROKS!$AC$5),"Seuil depasse","OK"))</f>
        <v>OK</v>
      </c>
      <c r="P300" s="25">
        <f t="shared" ca="1" si="28"/>
        <v>0</v>
      </c>
      <c r="Q300" s="25">
        <f t="shared" ca="1" si="29"/>
        <v>0</v>
      </c>
      <c r="R300" s="24">
        <f ca="1">IF(AND(P300=0,Q300=0),0,IFERROR(MAX(ROUNDUP(P300/INDEX(tblClusters[vCPU / noeud (deduit)],MATCH($B300,tblClusters[Cluster],0)),0),ROUNDUP(Q300/INDEX(tblClusters[RAM / noeud - Go (deduit)],MATCH($B300,tblClusters[Cluster],0)),0)),"Flavor a definir"))</f>
        <v>0</v>
      </c>
    </row>
    <row r="301" spans="1:18" x14ac:dyDescent="0.2">
      <c r="A301" s="38">
        <v>46631</v>
      </c>
      <c r="B301" s="21" t="s">
        <v>202</v>
      </c>
      <c r="C301" s="28" t="str">
        <f>IFERROR(INDEX(tblClusters[Utilisation],MATCH($B301,tblClusters[Cluster],0)),"")</f>
        <v>JUMP CLV</v>
      </c>
      <c r="D301" s="28" t="str">
        <f>IFERROR(INDEX(tblClusters[Type (deduit)],MATCH($B301,tblClusters[Cluster],0)),"")</f>
        <v>Dedie</v>
      </c>
      <c r="E301" s="24">
        <f>IFERROR(INDEX(tblClusters[CPU max (cores)],MATCH($B301,tblClusters[Cluster],0)),0)</f>
        <v>192</v>
      </c>
      <c r="F301" s="24">
        <f>IFERROR(INDEX(tblClusters[RAM max (Go)],MATCH($B301,tblClusters[Cluster],0)),0)</f>
        <v>1536</v>
      </c>
      <c r="G301" s="24">
        <f>IFERROR(INDEX(tblClusters[Charge existante CPU hors migration],MATCH($B301,tblClusters[Cluster],0)),0)</f>
        <v>0</v>
      </c>
      <c r="H301" s="24">
        <f>IFERROR(INDEX(tblClusters[Charge existante RAM hors migration (Go)],MATCH($B301,tblClusters[Cluster],0)),0)</f>
        <v>0</v>
      </c>
      <c r="I301" s="24">
        <f ca="1">SUMIFS(tblApplications[CPU cible ROKS],tblApplications[Cluster ROKS cible (auto)],$B301,tblApplications[Mois de bascule prevu],"&lt;="&amp;EOMONTH($A301,0),tblApplications[Inclus projection O/N],"O")</f>
        <v>0</v>
      </c>
      <c r="J301" s="24">
        <f ca="1">SUMIFS(tblApplications[RAM cible ROKS],tblApplications[Cluster ROKS cible (auto)],$B301,tblApplications[Mois de bascule prevu],"&lt;="&amp;EOMONTH($A301,0),tblApplications[Inclus projection O/N],"O")</f>
        <v>0</v>
      </c>
      <c r="K301" s="25">
        <f t="shared" ca="1" si="24"/>
        <v>0</v>
      </c>
      <c r="L301" s="25">
        <f t="shared" ca="1" si="25"/>
        <v>0</v>
      </c>
      <c r="M301" s="26">
        <f t="shared" ca="1" si="26"/>
        <v>0</v>
      </c>
      <c r="N301" s="26">
        <f t="shared" ca="1" si="27"/>
        <v>0</v>
      </c>
      <c r="O301" s="22" t="str">
        <f ca="1">IF(E301=0,IF(K301&gt;0,"Cluster sans capacite provisionnee","n/a"),IF(OR(M301&gt;=Clusters_ROKS!$AC$5,N301&gt;=Clusters_ROKS!$AC$5),"Seuil depasse","OK"))</f>
        <v>OK</v>
      </c>
      <c r="P301" s="25">
        <f t="shared" ca="1" si="28"/>
        <v>0</v>
      </c>
      <c r="Q301" s="25">
        <f t="shared" ca="1" si="29"/>
        <v>0</v>
      </c>
      <c r="R301" s="24">
        <f ca="1">IF(AND(P301=0,Q301=0),0,IFERROR(MAX(ROUNDUP(P301/INDEX(tblClusters[vCPU / noeud (deduit)],MATCH($B301,tblClusters[Cluster],0)),0),ROUNDUP(Q301/INDEX(tblClusters[RAM / noeud - Go (deduit)],MATCH($B301,tblClusters[Cluster],0)),0)),"Flavor a definir"))</f>
        <v>0</v>
      </c>
    </row>
    <row r="302" spans="1:18" x14ac:dyDescent="0.2">
      <c r="A302" s="38">
        <v>46661</v>
      </c>
      <c r="B302" s="21" t="s">
        <v>202</v>
      </c>
      <c r="C302" s="28" t="str">
        <f>IFERROR(INDEX(tblClusters[Utilisation],MATCH($B302,tblClusters[Cluster],0)),"")</f>
        <v>JUMP CLV</v>
      </c>
      <c r="D302" s="28" t="str">
        <f>IFERROR(INDEX(tblClusters[Type (deduit)],MATCH($B302,tblClusters[Cluster],0)),"")</f>
        <v>Dedie</v>
      </c>
      <c r="E302" s="24">
        <f>IFERROR(INDEX(tblClusters[CPU max (cores)],MATCH($B302,tblClusters[Cluster],0)),0)</f>
        <v>192</v>
      </c>
      <c r="F302" s="24">
        <f>IFERROR(INDEX(tblClusters[RAM max (Go)],MATCH($B302,tblClusters[Cluster],0)),0)</f>
        <v>1536</v>
      </c>
      <c r="G302" s="24">
        <f>IFERROR(INDEX(tblClusters[Charge existante CPU hors migration],MATCH($B302,tblClusters[Cluster],0)),0)</f>
        <v>0</v>
      </c>
      <c r="H302" s="24">
        <f>IFERROR(INDEX(tblClusters[Charge existante RAM hors migration (Go)],MATCH($B302,tblClusters[Cluster],0)),0)</f>
        <v>0</v>
      </c>
      <c r="I302" s="24">
        <f ca="1">SUMIFS(tblApplications[CPU cible ROKS],tblApplications[Cluster ROKS cible (auto)],$B302,tblApplications[Mois de bascule prevu],"&lt;="&amp;EOMONTH($A302,0),tblApplications[Inclus projection O/N],"O")</f>
        <v>0</v>
      </c>
      <c r="J302" s="24">
        <f ca="1">SUMIFS(tblApplications[RAM cible ROKS],tblApplications[Cluster ROKS cible (auto)],$B302,tblApplications[Mois de bascule prevu],"&lt;="&amp;EOMONTH($A302,0),tblApplications[Inclus projection O/N],"O")</f>
        <v>0</v>
      </c>
      <c r="K302" s="25">
        <f t="shared" ca="1" si="24"/>
        <v>0</v>
      </c>
      <c r="L302" s="25">
        <f t="shared" ca="1" si="25"/>
        <v>0</v>
      </c>
      <c r="M302" s="26">
        <f t="shared" ca="1" si="26"/>
        <v>0</v>
      </c>
      <c r="N302" s="26">
        <f t="shared" ca="1" si="27"/>
        <v>0</v>
      </c>
      <c r="O302" s="22" t="str">
        <f ca="1">IF(E302=0,IF(K302&gt;0,"Cluster sans capacite provisionnee","n/a"),IF(OR(M302&gt;=Clusters_ROKS!$AC$5,N302&gt;=Clusters_ROKS!$AC$5),"Seuil depasse","OK"))</f>
        <v>OK</v>
      </c>
      <c r="P302" s="25">
        <f t="shared" ca="1" si="28"/>
        <v>0</v>
      </c>
      <c r="Q302" s="25">
        <f t="shared" ca="1" si="29"/>
        <v>0</v>
      </c>
      <c r="R302" s="24">
        <f ca="1">IF(AND(P302=0,Q302=0),0,IFERROR(MAX(ROUNDUP(P302/INDEX(tblClusters[vCPU / noeud (deduit)],MATCH($B302,tblClusters[Cluster],0)),0),ROUNDUP(Q302/INDEX(tblClusters[RAM / noeud - Go (deduit)],MATCH($B302,tblClusters[Cluster],0)),0)),"Flavor a definir"))</f>
        <v>0</v>
      </c>
    </row>
    <row r="303" spans="1:18" x14ac:dyDescent="0.2">
      <c r="A303" s="38">
        <v>46692</v>
      </c>
      <c r="B303" s="21" t="s">
        <v>202</v>
      </c>
      <c r="C303" s="28" t="str">
        <f>IFERROR(INDEX(tblClusters[Utilisation],MATCH($B303,tblClusters[Cluster],0)),"")</f>
        <v>JUMP CLV</v>
      </c>
      <c r="D303" s="28" t="str">
        <f>IFERROR(INDEX(tblClusters[Type (deduit)],MATCH($B303,tblClusters[Cluster],0)),"")</f>
        <v>Dedie</v>
      </c>
      <c r="E303" s="24">
        <f>IFERROR(INDEX(tblClusters[CPU max (cores)],MATCH($B303,tblClusters[Cluster],0)),0)</f>
        <v>192</v>
      </c>
      <c r="F303" s="24">
        <f>IFERROR(INDEX(tblClusters[RAM max (Go)],MATCH($B303,tblClusters[Cluster],0)),0)</f>
        <v>1536</v>
      </c>
      <c r="G303" s="24">
        <f>IFERROR(INDEX(tblClusters[Charge existante CPU hors migration],MATCH($B303,tblClusters[Cluster],0)),0)</f>
        <v>0</v>
      </c>
      <c r="H303" s="24">
        <f>IFERROR(INDEX(tblClusters[Charge existante RAM hors migration (Go)],MATCH($B303,tblClusters[Cluster],0)),0)</f>
        <v>0</v>
      </c>
      <c r="I303" s="24">
        <f ca="1">SUMIFS(tblApplications[CPU cible ROKS],tblApplications[Cluster ROKS cible (auto)],$B303,tblApplications[Mois de bascule prevu],"&lt;="&amp;EOMONTH($A303,0),tblApplications[Inclus projection O/N],"O")</f>
        <v>0</v>
      </c>
      <c r="J303" s="24">
        <f ca="1">SUMIFS(tblApplications[RAM cible ROKS],tblApplications[Cluster ROKS cible (auto)],$B303,tblApplications[Mois de bascule prevu],"&lt;="&amp;EOMONTH($A303,0),tblApplications[Inclus projection O/N],"O")</f>
        <v>0</v>
      </c>
      <c r="K303" s="25">
        <f t="shared" ca="1" si="24"/>
        <v>0</v>
      </c>
      <c r="L303" s="25">
        <f t="shared" ca="1" si="25"/>
        <v>0</v>
      </c>
      <c r="M303" s="26">
        <f t="shared" ca="1" si="26"/>
        <v>0</v>
      </c>
      <c r="N303" s="26">
        <f t="shared" ca="1" si="27"/>
        <v>0</v>
      </c>
      <c r="O303" s="22" t="str">
        <f ca="1">IF(E303=0,IF(K303&gt;0,"Cluster sans capacite provisionnee","n/a"),IF(OR(M303&gt;=Clusters_ROKS!$AC$5,N303&gt;=Clusters_ROKS!$AC$5),"Seuil depasse","OK"))</f>
        <v>OK</v>
      </c>
      <c r="P303" s="25">
        <f t="shared" ca="1" si="28"/>
        <v>0</v>
      </c>
      <c r="Q303" s="25">
        <f t="shared" ca="1" si="29"/>
        <v>0</v>
      </c>
      <c r="R303" s="24">
        <f ca="1">IF(AND(P303=0,Q303=0),0,IFERROR(MAX(ROUNDUP(P303/INDEX(tblClusters[vCPU / noeud (deduit)],MATCH($B303,tblClusters[Cluster],0)),0),ROUNDUP(Q303/INDEX(tblClusters[RAM / noeud - Go (deduit)],MATCH($B303,tblClusters[Cluster],0)),0)),"Flavor a definir"))</f>
        <v>0</v>
      </c>
    </row>
    <row r="304" spans="1:18" x14ac:dyDescent="0.2">
      <c r="A304" s="38">
        <v>46722</v>
      </c>
      <c r="B304" s="21" t="s">
        <v>202</v>
      </c>
      <c r="C304" s="28" t="str">
        <f>IFERROR(INDEX(tblClusters[Utilisation],MATCH($B304,tblClusters[Cluster],0)),"")</f>
        <v>JUMP CLV</v>
      </c>
      <c r="D304" s="28" t="str">
        <f>IFERROR(INDEX(tblClusters[Type (deduit)],MATCH($B304,tblClusters[Cluster],0)),"")</f>
        <v>Dedie</v>
      </c>
      <c r="E304" s="24">
        <f>IFERROR(INDEX(tblClusters[CPU max (cores)],MATCH($B304,tblClusters[Cluster],0)),0)</f>
        <v>192</v>
      </c>
      <c r="F304" s="24">
        <f>IFERROR(INDEX(tblClusters[RAM max (Go)],MATCH($B304,tblClusters[Cluster],0)),0)</f>
        <v>1536</v>
      </c>
      <c r="G304" s="24">
        <f>IFERROR(INDEX(tblClusters[Charge existante CPU hors migration],MATCH($B304,tblClusters[Cluster],0)),0)</f>
        <v>0</v>
      </c>
      <c r="H304" s="24">
        <f>IFERROR(INDEX(tblClusters[Charge existante RAM hors migration (Go)],MATCH($B304,tblClusters[Cluster],0)),0)</f>
        <v>0</v>
      </c>
      <c r="I304" s="24">
        <f ca="1">SUMIFS(tblApplications[CPU cible ROKS],tblApplications[Cluster ROKS cible (auto)],$B304,tblApplications[Mois de bascule prevu],"&lt;="&amp;EOMONTH($A304,0),tblApplications[Inclus projection O/N],"O")</f>
        <v>0</v>
      </c>
      <c r="J304" s="24">
        <f ca="1">SUMIFS(tblApplications[RAM cible ROKS],tblApplications[Cluster ROKS cible (auto)],$B304,tblApplications[Mois de bascule prevu],"&lt;="&amp;EOMONTH($A304,0),tblApplications[Inclus projection O/N],"O")</f>
        <v>0</v>
      </c>
      <c r="K304" s="25">
        <f t="shared" ca="1" si="24"/>
        <v>0</v>
      </c>
      <c r="L304" s="25">
        <f t="shared" ca="1" si="25"/>
        <v>0</v>
      </c>
      <c r="M304" s="26">
        <f t="shared" ca="1" si="26"/>
        <v>0</v>
      </c>
      <c r="N304" s="26">
        <f t="shared" ca="1" si="27"/>
        <v>0</v>
      </c>
      <c r="O304" s="22" t="str">
        <f ca="1">IF(E304=0,IF(K304&gt;0,"Cluster sans capacite provisionnee","n/a"),IF(OR(M304&gt;=Clusters_ROKS!$AC$5,N304&gt;=Clusters_ROKS!$AC$5),"Seuil depasse","OK"))</f>
        <v>OK</v>
      </c>
      <c r="P304" s="25">
        <f t="shared" ca="1" si="28"/>
        <v>0</v>
      </c>
      <c r="Q304" s="25">
        <f t="shared" ca="1" si="29"/>
        <v>0</v>
      </c>
      <c r="R304" s="24">
        <f ca="1">IF(AND(P304=0,Q304=0),0,IFERROR(MAX(ROUNDUP(P304/INDEX(tblClusters[vCPU / noeud (deduit)],MATCH($B304,tblClusters[Cluster],0)),0),ROUNDUP(Q304/INDEX(tblClusters[RAM / noeud - Go (deduit)],MATCH($B304,tblClusters[Cluster],0)),0)),"Flavor a definir"))</f>
        <v>0</v>
      </c>
    </row>
    <row r="305" spans="1:18" x14ac:dyDescent="0.2">
      <c r="A305" s="38">
        <v>46388</v>
      </c>
      <c r="B305" s="21" t="s">
        <v>204</v>
      </c>
      <c r="C305" s="28" t="str">
        <f>IFERROR(INDEX(tblClusters[Utilisation],MATCH($B305,tblClusters[Cluster],0)),"")</f>
        <v>JUMP CLV</v>
      </c>
      <c r="D305" s="28" t="str">
        <f>IFERROR(INDEX(tblClusters[Type (deduit)],MATCH($B305,tblClusters[Cluster],0)),"")</f>
        <v>Dedie</v>
      </c>
      <c r="E305" s="24">
        <f>IFERROR(INDEX(tblClusters[CPU max (cores)],MATCH($B305,tblClusters[Cluster],0)),0)</f>
        <v>288</v>
      </c>
      <c r="F305" s="24">
        <f>IFERROR(INDEX(tblClusters[RAM max (Go)],MATCH($B305,tblClusters[Cluster],0)),0)</f>
        <v>2304</v>
      </c>
      <c r="G305" s="24">
        <f>IFERROR(INDEX(tblClusters[Charge existante CPU hors migration],MATCH($B305,tblClusters[Cluster],0)),0)</f>
        <v>0</v>
      </c>
      <c r="H305" s="24">
        <f>IFERROR(INDEX(tblClusters[Charge existante RAM hors migration (Go)],MATCH($B305,tblClusters[Cluster],0)),0)</f>
        <v>0</v>
      </c>
      <c r="I305" s="24">
        <f ca="1">SUMIFS(tblApplications[CPU cible ROKS],tblApplications[Cluster ROKS cible (auto)],$B305,tblApplications[Mois de bascule prevu],"&lt;="&amp;EOMONTH($A305,0),tblApplications[Inclus projection O/N],"O")</f>
        <v>0</v>
      </c>
      <c r="J305" s="24">
        <f ca="1">SUMIFS(tblApplications[RAM cible ROKS],tblApplications[Cluster ROKS cible (auto)],$B305,tblApplications[Mois de bascule prevu],"&lt;="&amp;EOMONTH($A305,0),tblApplications[Inclus projection O/N],"O")</f>
        <v>0</v>
      </c>
      <c r="K305" s="25">
        <f t="shared" ca="1" si="24"/>
        <v>0</v>
      </c>
      <c r="L305" s="25">
        <f t="shared" ca="1" si="25"/>
        <v>0</v>
      </c>
      <c r="M305" s="26">
        <f t="shared" ca="1" si="26"/>
        <v>0</v>
      </c>
      <c r="N305" s="26">
        <f t="shared" ca="1" si="27"/>
        <v>0</v>
      </c>
      <c r="O305" s="22" t="str">
        <f ca="1">IF(E305=0,IF(K305&gt;0,"Cluster sans capacite provisionnee","n/a"),IF(OR(M305&gt;=Clusters_ROKS!$AC$5,N305&gt;=Clusters_ROKS!$AC$5),"Seuil depasse","OK"))</f>
        <v>OK</v>
      </c>
      <c r="P305" s="25">
        <f t="shared" ca="1" si="28"/>
        <v>0</v>
      </c>
      <c r="Q305" s="25">
        <f t="shared" ca="1" si="29"/>
        <v>0</v>
      </c>
      <c r="R305" s="24">
        <f ca="1">IF(AND(P305=0,Q305=0),0,IFERROR(MAX(ROUNDUP(P305/INDEX(tblClusters[vCPU / noeud (deduit)],MATCH($B305,tblClusters[Cluster],0)),0),ROUNDUP(Q305/INDEX(tblClusters[RAM / noeud - Go (deduit)],MATCH($B305,tblClusters[Cluster],0)),0)),"Flavor a definir"))</f>
        <v>0</v>
      </c>
    </row>
    <row r="306" spans="1:18" x14ac:dyDescent="0.2">
      <c r="A306" s="38">
        <v>46419</v>
      </c>
      <c r="B306" s="21" t="s">
        <v>204</v>
      </c>
      <c r="C306" s="28" t="str">
        <f>IFERROR(INDEX(tblClusters[Utilisation],MATCH($B306,tblClusters[Cluster],0)),"")</f>
        <v>JUMP CLV</v>
      </c>
      <c r="D306" s="28" t="str">
        <f>IFERROR(INDEX(tblClusters[Type (deduit)],MATCH($B306,tblClusters[Cluster],0)),"")</f>
        <v>Dedie</v>
      </c>
      <c r="E306" s="24">
        <f>IFERROR(INDEX(tblClusters[CPU max (cores)],MATCH($B306,tblClusters[Cluster],0)),0)</f>
        <v>288</v>
      </c>
      <c r="F306" s="24">
        <f>IFERROR(INDEX(tblClusters[RAM max (Go)],MATCH($B306,tblClusters[Cluster],0)),0)</f>
        <v>2304</v>
      </c>
      <c r="G306" s="24">
        <f>IFERROR(INDEX(tblClusters[Charge existante CPU hors migration],MATCH($B306,tblClusters[Cluster],0)),0)</f>
        <v>0</v>
      </c>
      <c r="H306" s="24">
        <f>IFERROR(INDEX(tblClusters[Charge existante RAM hors migration (Go)],MATCH($B306,tblClusters[Cluster],0)),0)</f>
        <v>0</v>
      </c>
      <c r="I306" s="24">
        <f ca="1">SUMIFS(tblApplications[CPU cible ROKS],tblApplications[Cluster ROKS cible (auto)],$B306,tblApplications[Mois de bascule prevu],"&lt;="&amp;EOMONTH($A306,0),tblApplications[Inclus projection O/N],"O")</f>
        <v>0</v>
      </c>
      <c r="J306" s="24">
        <f ca="1">SUMIFS(tblApplications[RAM cible ROKS],tblApplications[Cluster ROKS cible (auto)],$B306,tblApplications[Mois de bascule prevu],"&lt;="&amp;EOMONTH($A306,0),tblApplications[Inclus projection O/N],"O")</f>
        <v>0</v>
      </c>
      <c r="K306" s="25">
        <f t="shared" ca="1" si="24"/>
        <v>0</v>
      </c>
      <c r="L306" s="25">
        <f t="shared" ca="1" si="25"/>
        <v>0</v>
      </c>
      <c r="M306" s="26">
        <f t="shared" ca="1" si="26"/>
        <v>0</v>
      </c>
      <c r="N306" s="26">
        <f t="shared" ca="1" si="27"/>
        <v>0</v>
      </c>
      <c r="O306" s="22" t="str">
        <f ca="1">IF(E306=0,IF(K306&gt;0,"Cluster sans capacite provisionnee","n/a"),IF(OR(M306&gt;=Clusters_ROKS!$AC$5,N306&gt;=Clusters_ROKS!$AC$5),"Seuil depasse","OK"))</f>
        <v>OK</v>
      </c>
      <c r="P306" s="25">
        <f t="shared" ca="1" si="28"/>
        <v>0</v>
      </c>
      <c r="Q306" s="25">
        <f t="shared" ca="1" si="29"/>
        <v>0</v>
      </c>
      <c r="R306" s="24">
        <f ca="1">IF(AND(P306=0,Q306=0),0,IFERROR(MAX(ROUNDUP(P306/INDEX(tblClusters[vCPU / noeud (deduit)],MATCH($B306,tblClusters[Cluster],0)),0),ROUNDUP(Q306/INDEX(tblClusters[RAM / noeud - Go (deduit)],MATCH($B306,tblClusters[Cluster],0)),0)),"Flavor a definir"))</f>
        <v>0</v>
      </c>
    </row>
    <row r="307" spans="1:18" x14ac:dyDescent="0.2">
      <c r="A307" s="38">
        <v>46447</v>
      </c>
      <c r="B307" s="21" t="s">
        <v>204</v>
      </c>
      <c r="C307" s="28" t="str">
        <f>IFERROR(INDEX(tblClusters[Utilisation],MATCH($B307,tblClusters[Cluster],0)),"")</f>
        <v>JUMP CLV</v>
      </c>
      <c r="D307" s="28" t="str">
        <f>IFERROR(INDEX(tblClusters[Type (deduit)],MATCH($B307,tblClusters[Cluster],0)),"")</f>
        <v>Dedie</v>
      </c>
      <c r="E307" s="24">
        <f>IFERROR(INDEX(tblClusters[CPU max (cores)],MATCH($B307,tblClusters[Cluster],0)),0)</f>
        <v>288</v>
      </c>
      <c r="F307" s="24">
        <f>IFERROR(INDEX(tblClusters[RAM max (Go)],MATCH($B307,tblClusters[Cluster],0)),0)</f>
        <v>2304</v>
      </c>
      <c r="G307" s="24">
        <f>IFERROR(INDEX(tblClusters[Charge existante CPU hors migration],MATCH($B307,tblClusters[Cluster],0)),0)</f>
        <v>0</v>
      </c>
      <c r="H307" s="24">
        <f>IFERROR(INDEX(tblClusters[Charge existante RAM hors migration (Go)],MATCH($B307,tblClusters[Cluster],0)),0)</f>
        <v>0</v>
      </c>
      <c r="I307" s="24">
        <f ca="1">SUMIFS(tblApplications[CPU cible ROKS],tblApplications[Cluster ROKS cible (auto)],$B307,tblApplications[Mois de bascule prevu],"&lt;="&amp;EOMONTH($A307,0),tblApplications[Inclus projection O/N],"O")</f>
        <v>0</v>
      </c>
      <c r="J307" s="24">
        <f ca="1">SUMIFS(tblApplications[RAM cible ROKS],tblApplications[Cluster ROKS cible (auto)],$B307,tblApplications[Mois de bascule prevu],"&lt;="&amp;EOMONTH($A307,0),tblApplications[Inclus projection O/N],"O")</f>
        <v>0</v>
      </c>
      <c r="K307" s="25">
        <f t="shared" ca="1" si="24"/>
        <v>0</v>
      </c>
      <c r="L307" s="25">
        <f t="shared" ca="1" si="25"/>
        <v>0</v>
      </c>
      <c r="M307" s="26">
        <f t="shared" ca="1" si="26"/>
        <v>0</v>
      </c>
      <c r="N307" s="26">
        <f t="shared" ca="1" si="27"/>
        <v>0</v>
      </c>
      <c r="O307" s="22" t="str">
        <f ca="1">IF(E307=0,IF(K307&gt;0,"Cluster sans capacite provisionnee","n/a"),IF(OR(M307&gt;=Clusters_ROKS!$AC$5,N307&gt;=Clusters_ROKS!$AC$5),"Seuil depasse","OK"))</f>
        <v>OK</v>
      </c>
      <c r="P307" s="25">
        <f t="shared" ca="1" si="28"/>
        <v>0</v>
      </c>
      <c r="Q307" s="25">
        <f t="shared" ca="1" si="29"/>
        <v>0</v>
      </c>
      <c r="R307" s="24">
        <f ca="1">IF(AND(P307=0,Q307=0),0,IFERROR(MAX(ROUNDUP(P307/INDEX(tblClusters[vCPU / noeud (deduit)],MATCH($B307,tblClusters[Cluster],0)),0),ROUNDUP(Q307/INDEX(tblClusters[RAM / noeud - Go (deduit)],MATCH($B307,tblClusters[Cluster],0)),0)),"Flavor a definir"))</f>
        <v>0</v>
      </c>
    </row>
    <row r="308" spans="1:18" x14ac:dyDescent="0.2">
      <c r="A308" s="38">
        <v>46478</v>
      </c>
      <c r="B308" s="21" t="s">
        <v>204</v>
      </c>
      <c r="C308" s="28" t="str">
        <f>IFERROR(INDEX(tblClusters[Utilisation],MATCH($B308,tblClusters[Cluster],0)),"")</f>
        <v>JUMP CLV</v>
      </c>
      <c r="D308" s="28" t="str">
        <f>IFERROR(INDEX(tblClusters[Type (deduit)],MATCH($B308,tblClusters[Cluster],0)),"")</f>
        <v>Dedie</v>
      </c>
      <c r="E308" s="24">
        <f>IFERROR(INDEX(tblClusters[CPU max (cores)],MATCH($B308,tblClusters[Cluster],0)),0)</f>
        <v>288</v>
      </c>
      <c r="F308" s="24">
        <f>IFERROR(INDEX(tblClusters[RAM max (Go)],MATCH($B308,tblClusters[Cluster],0)),0)</f>
        <v>2304</v>
      </c>
      <c r="G308" s="24">
        <f>IFERROR(INDEX(tblClusters[Charge existante CPU hors migration],MATCH($B308,tblClusters[Cluster],0)),0)</f>
        <v>0</v>
      </c>
      <c r="H308" s="24">
        <f>IFERROR(INDEX(tblClusters[Charge existante RAM hors migration (Go)],MATCH($B308,tblClusters[Cluster],0)),0)</f>
        <v>0</v>
      </c>
      <c r="I308" s="24">
        <f ca="1">SUMIFS(tblApplications[CPU cible ROKS],tblApplications[Cluster ROKS cible (auto)],$B308,tblApplications[Mois de bascule prevu],"&lt;="&amp;EOMONTH($A308,0),tblApplications[Inclus projection O/N],"O")</f>
        <v>0</v>
      </c>
      <c r="J308" s="24">
        <f ca="1">SUMIFS(tblApplications[RAM cible ROKS],tblApplications[Cluster ROKS cible (auto)],$B308,tblApplications[Mois de bascule prevu],"&lt;="&amp;EOMONTH($A308,0),tblApplications[Inclus projection O/N],"O")</f>
        <v>0</v>
      </c>
      <c r="K308" s="25">
        <f t="shared" ca="1" si="24"/>
        <v>0</v>
      </c>
      <c r="L308" s="25">
        <f t="shared" ca="1" si="25"/>
        <v>0</v>
      </c>
      <c r="M308" s="26">
        <f t="shared" ca="1" si="26"/>
        <v>0</v>
      </c>
      <c r="N308" s="26">
        <f t="shared" ca="1" si="27"/>
        <v>0</v>
      </c>
      <c r="O308" s="22" t="str">
        <f ca="1">IF(E308=0,IF(K308&gt;0,"Cluster sans capacite provisionnee","n/a"),IF(OR(M308&gt;=Clusters_ROKS!$AC$5,N308&gt;=Clusters_ROKS!$AC$5),"Seuil depasse","OK"))</f>
        <v>OK</v>
      </c>
      <c r="P308" s="25">
        <f t="shared" ca="1" si="28"/>
        <v>0</v>
      </c>
      <c r="Q308" s="25">
        <f t="shared" ca="1" si="29"/>
        <v>0</v>
      </c>
      <c r="R308" s="24">
        <f ca="1">IF(AND(P308=0,Q308=0),0,IFERROR(MAX(ROUNDUP(P308/INDEX(tblClusters[vCPU / noeud (deduit)],MATCH($B308,tblClusters[Cluster],0)),0),ROUNDUP(Q308/INDEX(tblClusters[RAM / noeud - Go (deduit)],MATCH($B308,tblClusters[Cluster],0)),0)),"Flavor a definir"))</f>
        <v>0</v>
      </c>
    </row>
    <row r="309" spans="1:18" x14ac:dyDescent="0.2">
      <c r="A309" s="38">
        <v>46508</v>
      </c>
      <c r="B309" s="21" t="s">
        <v>204</v>
      </c>
      <c r="C309" s="28" t="str">
        <f>IFERROR(INDEX(tblClusters[Utilisation],MATCH($B309,tblClusters[Cluster],0)),"")</f>
        <v>JUMP CLV</v>
      </c>
      <c r="D309" s="28" t="str">
        <f>IFERROR(INDEX(tblClusters[Type (deduit)],MATCH($B309,tblClusters[Cluster],0)),"")</f>
        <v>Dedie</v>
      </c>
      <c r="E309" s="24">
        <f>IFERROR(INDEX(tblClusters[CPU max (cores)],MATCH($B309,tblClusters[Cluster],0)),0)</f>
        <v>288</v>
      </c>
      <c r="F309" s="24">
        <f>IFERROR(INDEX(tblClusters[RAM max (Go)],MATCH($B309,tblClusters[Cluster],0)),0)</f>
        <v>2304</v>
      </c>
      <c r="G309" s="24">
        <f>IFERROR(INDEX(tblClusters[Charge existante CPU hors migration],MATCH($B309,tblClusters[Cluster],0)),0)</f>
        <v>0</v>
      </c>
      <c r="H309" s="24">
        <f>IFERROR(INDEX(tblClusters[Charge existante RAM hors migration (Go)],MATCH($B309,tblClusters[Cluster],0)),0)</f>
        <v>0</v>
      </c>
      <c r="I309" s="24">
        <f ca="1">SUMIFS(tblApplications[CPU cible ROKS],tblApplications[Cluster ROKS cible (auto)],$B309,tblApplications[Mois de bascule prevu],"&lt;="&amp;EOMONTH($A309,0),tblApplications[Inclus projection O/N],"O")</f>
        <v>0</v>
      </c>
      <c r="J309" s="24">
        <f ca="1">SUMIFS(tblApplications[RAM cible ROKS],tblApplications[Cluster ROKS cible (auto)],$B309,tblApplications[Mois de bascule prevu],"&lt;="&amp;EOMONTH($A309,0),tblApplications[Inclus projection O/N],"O")</f>
        <v>0</v>
      </c>
      <c r="K309" s="25">
        <f t="shared" ca="1" si="24"/>
        <v>0</v>
      </c>
      <c r="L309" s="25">
        <f t="shared" ca="1" si="25"/>
        <v>0</v>
      </c>
      <c r="M309" s="26">
        <f t="shared" ca="1" si="26"/>
        <v>0</v>
      </c>
      <c r="N309" s="26">
        <f t="shared" ca="1" si="27"/>
        <v>0</v>
      </c>
      <c r="O309" s="22" t="str">
        <f ca="1">IF(E309=0,IF(K309&gt;0,"Cluster sans capacite provisionnee","n/a"),IF(OR(M309&gt;=Clusters_ROKS!$AC$5,N309&gt;=Clusters_ROKS!$AC$5),"Seuil depasse","OK"))</f>
        <v>OK</v>
      </c>
      <c r="P309" s="25">
        <f t="shared" ca="1" si="28"/>
        <v>0</v>
      </c>
      <c r="Q309" s="25">
        <f t="shared" ca="1" si="29"/>
        <v>0</v>
      </c>
      <c r="R309" s="24">
        <f ca="1">IF(AND(P309=0,Q309=0),0,IFERROR(MAX(ROUNDUP(P309/INDEX(tblClusters[vCPU / noeud (deduit)],MATCH($B309,tblClusters[Cluster],0)),0),ROUNDUP(Q309/INDEX(tblClusters[RAM / noeud - Go (deduit)],MATCH($B309,tblClusters[Cluster],0)),0)),"Flavor a definir"))</f>
        <v>0</v>
      </c>
    </row>
    <row r="310" spans="1:18" x14ac:dyDescent="0.2">
      <c r="A310" s="38">
        <v>46539</v>
      </c>
      <c r="B310" s="21" t="s">
        <v>204</v>
      </c>
      <c r="C310" s="28" t="str">
        <f>IFERROR(INDEX(tblClusters[Utilisation],MATCH($B310,tblClusters[Cluster],0)),"")</f>
        <v>JUMP CLV</v>
      </c>
      <c r="D310" s="28" t="str">
        <f>IFERROR(INDEX(tblClusters[Type (deduit)],MATCH($B310,tblClusters[Cluster],0)),"")</f>
        <v>Dedie</v>
      </c>
      <c r="E310" s="24">
        <f>IFERROR(INDEX(tblClusters[CPU max (cores)],MATCH($B310,tblClusters[Cluster],0)),0)</f>
        <v>288</v>
      </c>
      <c r="F310" s="24">
        <f>IFERROR(INDEX(tblClusters[RAM max (Go)],MATCH($B310,tblClusters[Cluster],0)),0)</f>
        <v>2304</v>
      </c>
      <c r="G310" s="24">
        <f>IFERROR(INDEX(tblClusters[Charge existante CPU hors migration],MATCH($B310,tblClusters[Cluster],0)),0)</f>
        <v>0</v>
      </c>
      <c r="H310" s="24">
        <f>IFERROR(INDEX(tblClusters[Charge existante RAM hors migration (Go)],MATCH($B310,tblClusters[Cluster],0)),0)</f>
        <v>0</v>
      </c>
      <c r="I310" s="24">
        <f ca="1">SUMIFS(tblApplications[CPU cible ROKS],tblApplications[Cluster ROKS cible (auto)],$B310,tblApplications[Mois de bascule prevu],"&lt;="&amp;EOMONTH($A310,0),tblApplications[Inclus projection O/N],"O")</f>
        <v>0</v>
      </c>
      <c r="J310" s="24">
        <f ca="1">SUMIFS(tblApplications[RAM cible ROKS],tblApplications[Cluster ROKS cible (auto)],$B310,tblApplications[Mois de bascule prevu],"&lt;="&amp;EOMONTH($A310,0),tblApplications[Inclus projection O/N],"O")</f>
        <v>0</v>
      </c>
      <c r="K310" s="25">
        <f t="shared" ca="1" si="24"/>
        <v>0</v>
      </c>
      <c r="L310" s="25">
        <f t="shared" ca="1" si="25"/>
        <v>0</v>
      </c>
      <c r="M310" s="26">
        <f t="shared" ca="1" si="26"/>
        <v>0</v>
      </c>
      <c r="N310" s="26">
        <f t="shared" ca="1" si="27"/>
        <v>0</v>
      </c>
      <c r="O310" s="22" t="str">
        <f ca="1">IF(E310=0,IF(K310&gt;0,"Cluster sans capacite provisionnee","n/a"),IF(OR(M310&gt;=Clusters_ROKS!$AC$5,N310&gt;=Clusters_ROKS!$AC$5),"Seuil depasse","OK"))</f>
        <v>OK</v>
      </c>
      <c r="P310" s="25">
        <f t="shared" ca="1" si="28"/>
        <v>0</v>
      </c>
      <c r="Q310" s="25">
        <f t="shared" ca="1" si="29"/>
        <v>0</v>
      </c>
      <c r="R310" s="24">
        <f ca="1">IF(AND(P310=0,Q310=0),0,IFERROR(MAX(ROUNDUP(P310/INDEX(tblClusters[vCPU / noeud (deduit)],MATCH($B310,tblClusters[Cluster],0)),0),ROUNDUP(Q310/INDEX(tblClusters[RAM / noeud - Go (deduit)],MATCH($B310,tblClusters[Cluster],0)),0)),"Flavor a definir"))</f>
        <v>0</v>
      </c>
    </row>
    <row r="311" spans="1:18" x14ac:dyDescent="0.2">
      <c r="A311" s="38">
        <v>46569</v>
      </c>
      <c r="B311" s="21" t="s">
        <v>204</v>
      </c>
      <c r="C311" s="28" t="str">
        <f>IFERROR(INDEX(tblClusters[Utilisation],MATCH($B311,tblClusters[Cluster],0)),"")</f>
        <v>JUMP CLV</v>
      </c>
      <c r="D311" s="28" t="str">
        <f>IFERROR(INDEX(tblClusters[Type (deduit)],MATCH($B311,tblClusters[Cluster],0)),"")</f>
        <v>Dedie</v>
      </c>
      <c r="E311" s="24">
        <f>IFERROR(INDEX(tblClusters[CPU max (cores)],MATCH($B311,tblClusters[Cluster],0)),0)</f>
        <v>288</v>
      </c>
      <c r="F311" s="24">
        <f>IFERROR(INDEX(tblClusters[RAM max (Go)],MATCH($B311,tblClusters[Cluster],0)),0)</f>
        <v>2304</v>
      </c>
      <c r="G311" s="24">
        <f>IFERROR(INDEX(tblClusters[Charge existante CPU hors migration],MATCH($B311,tblClusters[Cluster],0)),0)</f>
        <v>0</v>
      </c>
      <c r="H311" s="24">
        <f>IFERROR(INDEX(tblClusters[Charge existante RAM hors migration (Go)],MATCH($B311,tblClusters[Cluster],0)),0)</f>
        <v>0</v>
      </c>
      <c r="I311" s="24">
        <f ca="1">SUMIFS(tblApplications[CPU cible ROKS],tblApplications[Cluster ROKS cible (auto)],$B311,tblApplications[Mois de bascule prevu],"&lt;="&amp;EOMONTH($A311,0),tblApplications[Inclus projection O/N],"O")</f>
        <v>0</v>
      </c>
      <c r="J311" s="24">
        <f ca="1">SUMIFS(tblApplications[RAM cible ROKS],tblApplications[Cluster ROKS cible (auto)],$B311,tblApplications[Mois de bascule prevu],"&lt;="&amp;EOMONTH($A311,0),tblApplications[Inclus projection O/N],"O")</f>
        <v>0</v>
      </c>
      <c r="K311" s="25">
        <f t="shared" ca="1" si="24"/>
        <v>0</v>
      </c>
      <c r="L311" s="25">
        <f t="shared" ca="1" si="25"/>
        <v>0</v>
      </c>
      <c r="M311" s="26">
        <f t="shared" ca="1" si="26"/>
        <v>0</v>
      </c>
      <c r="N311" s="26">
        <f t="shared" ca="1" si="27"/>
        <v>0</v>
      </c>
      <c r="O311" s="22" t="str">
        <f ca="1">IF(E311=0,IF(K311&gt;0,"Cluster sans capacite provisionnee","n/a"),IF(OR(M311&gt;=Clusters_ROKS!$AC$5,N311&gt;=Clusters_ROKS!$AC$5),"Seuil depasse","OK"))</f>
        <v>OK</v>
      </c>
      <c r="P311" s="25">
        <f t="shared" ca="1" si="28"/>
        <v>0</v>
      </c>
      <c r="Q311" s="25">
        <f t="shared" ca="1" si="29"/>
        <v>0</v>
      </c>
      <c r="R311" s="24">
        <f ca="1">IF(AND(P311=0,Q311=0),0,IFERROR(MAX(ROUNDUP(P311/INDEX(tblClusters[vCPU / noeud (deduit)],MATCH($B311,tblClusters[Cluster],0)),0),ROUNDUP(Q311/INDEX(tblClusters[RAM / noeud - Go (deduit)],MATCH($B311,tblClusters[Cluster],0)),0)),"Flavor a definir"))</f>
        <v>0</v>
      </c>
    </row>
    <row r="312" spans="1:18" x14ac:dyDescent="0.2">
      <c r="A312" s="38">
        <v>46600</v>
      </c>
      <c r="B312" s="21" t="s">
        <v>204</v>
      </c>
      <c r="C312" s="28" t="str">
        <f>IFERROR(INDEX(tblClusters[Utilisation],MATCH($B312,tblClusters[Cluster],0)),"")</f>
        <v>JUMP CLV</v>
      </c>
      <c r="D312" s="28" t="str">
        <f>IFERROR(INDEX(tblClusters[Type (deduit)],MATCH($B312,tblClusters[Cluster],0)),"")</f>
        <v>Dedie</v>
      </c>
      <c r="E312" s="24">
        <f>IFERROR(INDEX(tblClusters[CPU max (cores)],MATCH($B312,tblClusters[Cluster],0)),0)</f>
        <v>288</v>
      </c>
      <c r="F312" s="24">
        <f>IFERROR(INDEX(tblClusters[RAM max (Go)],MATCH($B312,tblClusters[Cluster],0)),0)</f>
        <v>2304</v>
      </c>
      <c r="G312" s="24">
        <f>IFERROR(INDEX(tblClusters[Charge existante CPU hors migration],MATCH($B312,tblClusters[Cluster],0)),0)</f>
        <v>0</v>
      </c>
      <c r="H312" s="24">
        <f>IFERROR(INDEX(tblClusters[Charge existante RAM hors migration (Go)],MATCH($B312,tblClusters[Cluster],0)),0)</f>
        <v>0</v>
      </c>
      <c r="I312" s="24">
        <f ca="1">SUMIFS(tblApplications[CPU cible ROKS],tblApplications[Cluster ROKS cible (auto)],$B312,tblApplications[Mois de bascule prevu],"&lt;="&amp;EOMONTH($A312,0),tblApplications[Inclus projection O/N],"O")</f>
        <v>0</v>
      </c>
      <c r="J312" s="24">
        <f ca="1">SUMIFS(tblApplications[RAM cible ROKS],tblApplications[Cluster ROKS cible (auto)],$B312,tblApplications[Mois de bascule prevu],"&lt;="&amp;EOMONTH($A312,0),tblApplications[Inclus projection O/N],"O")</f>
        <v>0</v>
      </c>
      <c r="K312" s="25">
        <f t="shared" ca="1" si="24"/>
        <v>0</v>
      </c>
      <c r="L312" s="25">
        <f t="shared" ca="1" si="25"/>
        <v>0</v>
      </c>
      <c r="M312" s="26">
        <f t="shared" ca="1" si="26"/>
        <v>0</v>
      </c>
      <c r="N312" s="26">
        <f t="shared" ca="1" si="27"/>
        <v>0</v>
      </c>
      <c r="O312" s="22" t="str">
        <f ca="1">IF(E312=0,IF(K312&gt;0,"Cluster sans capacite provisionnee","n/a"),IF(OR(M312&gt;=Clusters_ROKS!$AC$5,N312&gt;=Clusters_ROKS!$AC$5),"Seuil depasse","OK"))</f>
        <v>OK</v>
      </c>
      <c r="P312" s="25">
        <f t="shared" ca="1" si="28"/>
        <v>0</v>
      </c>
      <c r="Q312" s="25">
        <f t="shared" ca="1" si="29"/>
        <v>0</v>
      </c>
      <c r="R312" s="24">
        <f ca="1">IF(AND(P312=0,Q312=0),0,IFERROR(MAX(ROUNDUP(P312/INDEX(tblClusters[vCPU / noeud (deduit)],MATCH($B312,tblClusters[Cluster],0)),0),ROUNDUP(Q312/INDEX(tblClusters[RAM / noeud - Go (deduit)],MATCH($B312,tblClusters[Cluster],0)),0)),"Flavor a definir"))</f>
        <v>0</v>
      </c>
    </row>
    <row r="313" spans="1:18" x14ac:dyDescent="0.2">
      <c r="A313" s="38">
        <v>46631</v>
      </c>
      <c r="B313" s="21" t="s">
        <v>204</v>
      </c>
      <c r="C313" s="28" t="str">
        <f>IFERROR(INDEX(tblClusters[Utilisation],MATCH($B313,tblClusters[Cluster],0)),"")</f>
        <v>JUMP CLV</v>
      </c>
      <c r="D313" s="28" t="str">
        <f>IFERROR(INDEX(tblClusters[Type (deduit)],MATCH($B313,tblClusters[Cluster],0)),"")</f>
        <v>Dedie</v>
      </c>
      <c r="E313" s="24">
        <f>IFERROR(INDEX(tblClusters[CPU max (cores)],MATCH($B313,tblClusters[Cluster],0)),0)</f>
        <v>288</v>
      </c>
      <c r="F313" s="24">
        <f>IFERROR(INDEX(tblClusters[RAM max (Go)],MATCH($B313,tblClusters[Cluster],0)),0)</f>
        <v>2304</v>
      </c>
      <c r="G313" s="24">
        <f>IFERROR(INDEX(tblClusters[Charge existante CPU hors migration],MATCH($B313,tblClusters[Cluster],0)),0)</f>
        <v>0</v>
      </c>
      <c r="H313" s="24">
        <f>IFERROR(INDEX(tblClusters[Charge existante RAM hors migration (Go)],MATCH($B313,tblClusters[Cluster],0)),0)</f>
        <v>0</v>
      </c>
      <c r="I313" s="24">
        <f ca="1">SUMIFS(tblApplications[CPU cible ROKS],tblApplications[Cluster ROKS cible (auto)],$B313,tblApplications[Mois de bascule prevu],"&lt;="&amp;EOMONTH($A313,0),tblApplications[Inclus projection O/N],"O")</f>
        <v>0</v>
      </c>
      <c r="J313" s="24">
        <f ca="1">SUMIFS(tblApplications[RAM cible ROKS],tblApplications[Cluster ROKS cible (auto)],$B313,tblApplications[Mois de bascule prevu],"&lt;="&amp;EOMONTH($A313,0),tblApplications[Inclus projection O/N],"O")</f>
        <v>0</v>
      </c>
      <c r="K313" s="25">
        <f t="shared" ca="1" si="24"/>
        <v>0</v>
      </c>
      <c r="L313" s="25">
        <f t="shared" ca="1" si="25"/>
        <v>0</v>
      </c>
      <c r="M313" s="26">
        <f t="shared" ca="1" si="26"/>
        <v>0</v>
      </c>
      <c r="N313" s="26">
        <f t="shared" ca="1" si="27"/>
        <v>0</v>
      </c>
      <c r="O313" s="22" t="str">
        <f ca="1">IF(E313=0,IF(K313&gt;0,"Cluster sans capacite provisionnee","n/a"),IF(OR(M313&gt;=Clusters_ROKS!$AC$5,N313&gt;=Clusters_ROKS!$AC$5),"Seuil depasse","OK"))</f>
        <v>OK</v>
      </c>
      <c r="P313" s="25">
        <f t="shared" ca="1" si="28"/>
        <v>0</v>
      </c>
      <c r="Q313" s="25">
        <f t="shared" ca="1" si="29"/>
        <v>0</v>
      </c>
      <c r="R313" s="24">
        <f ca="1">IF(AND(P313=0,Q313=0),0,IFERROR(MAX(ROUNDUP(P313/INDEX(tblClusters[vCPU / noeud (deduit)],MATCH($B313,tblClusters[Cluster],0)),0),ROUNDUP(Q313/INDEX(tblClusters[RAM / noeud - Go (deduit)],MATCH($B313,tblClusters[Cluster],0)),0)),"Flavor a definir"))</f>
        <v>0</v>
      </c>
    </row>
    <row r="314" spans="1:18" x14ac:dyDescent="0.2">
      <c r="A314" s="38">
        <v>46661</v>
      </c>
      <c r="B314" s="21" t="s">
        <v>204</v>
      </c>
      <c r="C314" s="28" t="str">
        <f>IFERROR(INDEX(tblClusters[Utilisation],MATCH($B314,tblClusters[Cluster],0)),"")</f>
        <v>JUMP CLV</v>
      </c>
      <c r="D314" s="28" t="str">
        <f>IFERROR(INDEX(tblClusters[Type (deduit)],MATCH($B314,tblClusters[Cluster],0)),"")</f>
        <v>Dedie</v>
      </c>
      <c r="E314" s="24">
        <f>IFERROR(INDEX(tblClusters[CPU max (cores)],MATCH($B314,tblClusters[Cluster],0)),0)</f>
        <v>288</v>
      </c>
      <c r="F314" s="24">
        <f>IFERROR(INDEX(tblClusters[RAM max (Go)],MATCH($B314,tblClusters[Cluster],0)),0)</f>
        <v>2304</v>
      </c>
      <c r="G314" s="24">
        <f>IFERROR(INDEX(tblClusters[Charge existante CPU hors migration],MATCH($B314,tblClusters[Cluster],0)),0)</f>
        <v>0</v>
      </c>
      <c r="H314" s="24">
        <f>IFERROR(INDEX(tblClusters[Charge existante RAM hors migration (Go)],MATCH($B314,tblClusters[Cluster],0)),0)</f>
        <v>0</v>
      </c>
      <c r="I314" s="24">
        <f ca="1">SUMIFS(tblApplications[CPU cible ROKS],tblApplications[Cluster ROKS cible (auto)],$B314,tblApplications[Mois de bascule prevu],"&lt;="&amp;EOMONTH($A314,0),tblApplications[Inclus projection O/N],"O")</f>
        <v>0</v>
      </c>
      <c r="J314" s="24">
        <f ca="1">SUMIFS(tblApplications[RAM cible ROKS],tblApplications[Cluster ROKS cible (auto)],$B314,tblApplications[Mois de bascule prevu],"&lt;="&amp;EOMONTH($A314,0),tblApplications[Inclus projection O/N],"O")</f>
        <v>0</v>
      </c>
      <c r="K314" s="25">
        <f t="shared" ca="1" si="24"/>
        <v>0</v>
      </c>
      <c r="L314" s="25">
        <f t="shared" ca="1" si="25"/>
        <v>0</v>
      </c>
      <c r="M314" s="26">
        <f t="shared" ca="1" si="26"/>
        <v>0</v>
      </c>
      <c r="N314" s="26">
        <f t="shared" ca="1" si="27"/>
        <v>0</v>
      </c>
      <c r="O314" s="22" t="str">
        <f ca="1">IF(E314=0,IF(K314&gt;0,"Cluster sans capacite provisionnee","n/a"),IF(OR(M314&gt;=Clusters_ROKS!$AC$5,N314&gt;=Clusters_ROKS!$AC$5),"Seuil depasse","OK"))</f>
        <v>OK</v>
      </c>
      <c r="P314" s="25">
        <f t="shared" ca="1" si="28"/>
        <v>0</v>
      </c>
      <c r="Q314" s="25">
        <f t="shared" ca="1" si="29"/>
        <v>0</v>
      </c>
      <c r="R314" s="24">
        <f ca="1">IF(AND(P314=0,Q314=0),0,IFERROR(MAX(ROUNDUP(P314/INDEX(tblClusters[vCPU / noeud (deduit)],MATCH($B314,tblClusters[Cluster],0)),0),ROUNDUP(Q314/INDEX(tblClusters[RAM / noeud - Go (deduit)],MATCH($B314,tblClusters[Cluster],0)),0)),"Flavor a definir"))</f>
        <v>0</v>
      </c>
    </row>
    <row r="315" spans="1:18" x14ac:dyDescent="0.2">
      <c r="A315" s="38">
        <v>46692</v>
      </c>
      <c r="B315" s="21" t="s">
        <v>204</v>
      </c>
      <c r="C315" s="28" t="str">
        <f>IFERROR(INDEX(tblClusters[Utilisation],MATCH($B315,tblClusters[Cluster],0)),"")</f>
        <v>JUMP CLV</v>
      </c>
      <c r="D315" s="28" t="str">
        <f>IFERROR(INDEX(tblClusters[Type (deduit)],MATCH($B315,tblClusters[Cluster],0)),"")</f>
        <v>Dedie</v>
      </c>
      <c r="E315" s="24">
        <f>IFERROR(INDEX(tblClusters[CPU max (cores)],MATCH($B315,tblClusters[Cluster],0)),0)</f>
        <v>288</v>
      </c>
      <c r="F315" s="24">
        <f>IFERROR(INDEX(tblClusters[RAM max (Go)],MATCH($B315,tblClusters[Cluster],0)),0)</f>
        <v>2304</v>
      </c>
      <c r="G315" s="24">
        <f>IFERROR(INDEX(tblClusters[Charge existante CPU hors migration],MATCH($B315,tblClusters[Cluster],0)),0)</f>
        <v>0</v>
      </c>
      <c r="H315" s="24">
        <f>IFERROR(INDEX(tblClusters[Charge existante RAM hors migration (Go)],MATCH($B315,tblClusters[Cluster],0)),0)</f>
        <v>0</v>
      </c>
      <c r="I315" s="24">
        <f ca="1">SUMIFS(tblApplications[CPU cible ROKS],tblApplications[Cluster ROKS cible (auto)],$B315,tblApplications[Mois de bascule prevu],"&lt;="&amp;EOMONTH($A315,0),tblApplications[Inclus projection O/N],"O")</f>
        <v>0</v>
      </c>
      <c r="J315" s="24">
        <f ca="1">SUMIFS(tblApplications[RAM cible ROKS],tblApplications[Cluster ROKS cible (auto)],$B315,tblApplications[Mois de bascule prevu],"&lt;="&amp;EOMONTH($A315,0),tblApplications[Inclus projection O/N],"O")</f>
        <v>0</v>
      </c>
      <c r="K315" s="25">
        <f t="shared" ca="1" si="24"/>
        <v>0</v>
      </c>
      <c r="L315" s="25">
        <f t="shared" ca="1" si="25"/>
        <v>0</v>
      </c>
      <c r="M315" s="26">
        <f t="shared" ca="1" si="26"/>
        <v>0</v>
      </c>
      <c r="N315" s="26">
        <f t="shared" ca="1" si="27"/>
        <v>0</v>
      </c>
      <c r="O315" s="22" t="str">
        <f ca="1">IF(E315=0,IF(K315&gt;0,"Cluster sans capacite provisionnee","n/a"),IF(OR(M315&gt;=Clusters_ROKS!$AC$5,N315&gt;=Clusters_ROKS!$AC$5),"Seuil depasse","OK"))</f>
        <v>OK</v>
      </c>
      <c r="P315" s="25">
        <f t="shared" ca="1" si="28"/>
        <v>0</v>
      </c>
      <c r="Q315" s="25">
        <f t="shared" ca="1" si="29"/>
        <v>0</v>
      </c>
      <c r="R315" s="24">
        <f ca="1">IF(AND(P315=0,Q315=0),0,IFERROR(MAX(ROUNDUP(P315/INDEX(tblClusters[vCPU / noeud (deduit)],MATCH($B315,tblClusters[Cluster],0)),0),ROUNDUP(Q315/INDEX(tblClusters[RAM / noeud - Go (deduit)],MATCH($B315,tblClusters[Cluster],0)),0)),"Flavor a definir"))</f>
        <v>0</v>
      </c>
    </row>
    <row r="316" spans="1:18" x14ac:dyDescent="0.2">
      <c r="A316" s="38">
        <v>46722</v>
      </c>
      <c r="B316" s="21" t="s">
        <v>204</v>
      </c>
      <c r="C316" s="28" t="str">
        <f>IFERROR(INDEX(tblClusters[Utilisation],MATCH($B316,tblClusters[Cluster],0)),"")</f>
        <v>JUMP CLV</v>
      </c>
      <c r="D316" s="28" t="str">
        <f>IFERROR(INDEX(tblClusters[Type (deduit)],MATCH($B316,tblClusters[Cluster],0)),"")</f>
        <v>Dedie</v>
      </c>
      <c r="E316" s="24">
        <f>IFERROR(INDEX(tblClusters[CPU max (cores)],MATCH($B316,tblClusters[Cluster],0)),0)</f>
        <v>288</v>
      </c>
      <c r="F316" s="24">
        <f>IFERROR(INDEX(tblClusters[RAM max (Go)],MATCH($B316,tblClusters[Cluster],0)),0)</f>
        <v>2304</v>
      </c>
      <c r="G316" s="24">
        <f>IFERROR(INDEX(tblClusters[Charge existante CPU hors migration],MATCH($B316,tblClusters[Cluster],0)),0)</f>
        <v>0</v>
      </c>
      <c r="H316" s="24">
        <f>IFERROR(INDEX(tblClusters[Charge existante RAM hors migration (Go)],MATCH($B316,tblClusters[Cluster],0)),0)</f>
        <v>0</v>
      </c>
      <c r="I316" s="24">
        <f ca="1">SUMIFS(tblApplications[CPU cible ROKS],tblApplications[Cluster ROKS cible (auto)],$B316,tblApplications[Mois de bascule prevu],"&lt;="&amp;EOMONTH($A316,0),tblApplications[Inclus projection O/N],"O")</f>
        <v>0</v>
      </c>
      <c r="J316" s="24">
        <f ca="1">SUMIFS(tblApplications[RAM cible ROKS],tblApplications[Cluster ROKS cible (auto)],$B316,tblApplications[Mois de bascule prevu],"&lt;="&amp;EOMONTH($A316,0),tblApplications[Inclus projection O/N],"O")</f>
        <v>0</v>
      </c>
      <c r="K316" s="25">
        <f t="shared" ca="1" si="24"/>
        <v>0</v>
      </c>
      <c r="L316" s="25">
        <f t="shared" ca="1" si="25"/>
        <v>0</v>
      </c>
      <c r="M316" s="26">
        <f t="shared" ca="1" si="26"/>
        <v>0</v>
      </c>
      <c r="N316" s="26">
        <f t="shared" ca="1" si="27"/>
        <v>0</v>
      </c>
      <c r="O316" s="22" t="str">
        <f ca="1">IF(E316=0,IF(K316&gt;0,"Cluster sans capacite provisionnee","n/a"),IF(OR(M316&gt;=Clusters_ROKS!$AC$5,N316&gt;=Clusters_ROKS!$AC$5),"Seuil depasse","OK"))</f>
        <v>OK</v>
      </c>
      <c r="P316" s="25">
        <f t="shared" ca="1" si="28"/>
        <v>0</v>
      </c>
      <c r="Q316" s="25">
        <f t="shared" ca="1" si="29"/>
        <v>0</v>
      </c>
      <c r="R316" s="24">
        <f ca="1">IF(AND(P316=0,Q316=0),0,IFERROR(MAX(ROUNDUP(P316/INDEX(tblClusters[vCPU / noeud (deduit)],MATCH($B316,tblClusters[Cluster],0)),0),ROUNDUP(Q316/INDEX(tblClusters[RAM / noeud - Go (deduit)],MATCH($B316,tblClusters[Cluster],0)),0)),"Flavor a definir"))</f>
        <v>0</v>
      </c>
    </row>
    <row r="317" spans="1:18" x14ac:dyDescent="0.2">
      <c r="A317" s="38">
        <v>46388</v>
      </c>
      <c r="B317" s="21" t="s">
        <v>205</v>
      </c>
      <c r="C317" s="28" t="str">
        <f>IFERROR(INDEX(tblClusters[Utilisation],MATCH($B317,tblClusters[Cluster],0)),"")</f>
        <v>JUMP AEP</v>
      </c>
      <c r="D317" s="28" t="str">
        <f>IFERROR(INDEX(tblClusters[Type (deduit)],MATCH($B317,tblClusters[Cluster],0)),"")</f>
        <v>Dedie</v>
      </c>
      <c r="E317" s="24">
        <f>IFERROR(INDEX(tblClusters[CPU max (cores)],MATCH($B317,tblClusters[Cluster],0)),0)</f>
        <v>384</v>
      </c>
      <c r="F317" s="24">
        <f>IFERROR(INDEX(tblClusters[RAM max (Go)],MATCH($B317,tblClusters[Cluster],0)),0)</f>
        <v>3072</v>
      </c>
      <c r="G317" s="24">
        <f>IFERROR(INDEX(tblClusters[Charge existante CPU hors migration],MATCH($B317,tblClusters[Cluster],0)),0)</f>
        <v>0</v>
      </c>
      <c r="H317" s="24">
        <f>IFERROR(INDEX(tblClusters[Charge existante RAM hors migration (Go)],MATCH($B317,tblClusters[Cluster],0)),0)</f>
        <v>0</v>
      </c>
      <c r="I317" s="24">
        <f ca="1">SUMIFS(tblApplications[CPU cible ROKS],tblApplications[Cluster ROKS cible (auto)],$B317,tblApplications[Mois de bascule prevu],"&lt;="&amp;EOMONTH($A317,0),tblApplications[Inclus projection O/N],"O")</f>
        <v>0</v>
      </c>
      <c r="J317" s="24">
        <f ca="1">SUMIFS(tblApplications[RAM cible ROKS],tblApplications[Cluster ROKS cible (auto)],$B317,tblApplications[Mois de bascule prevu],"&lt;="&amp;EOMONTH($A317,0),tblApplications[Inclus projection O/N],"O")</f>
        <v>0</v>
      </c>
      <c r="K317" s="25">
        <f t="shared" ca="1" si="24"/>
        <v>0</v>
      </c>
      <c r="L317" s="25">
        <f t="shared" ca="1" si="25"/>
        <v>0</v>
      </c>
      <c r="M317" s="26">
        <f t="shared" ca="1" si="26"/>
        <v>0</v>
      </c>
      <c r="N317" s="26">
        <f t="shared" ca="1" si="27"/>
        <v>0</v>
      </c>
      <c r="O317" s="22" t="str">
        <f ca="1">IF(E317=0,IF(K317&gt;0,"Cluster sans capacite provisionnee","n/a"),IF(OR(M317&gt;=Clusters_ROKS!$AC$5,N317&gt;=Clusters_ROKS!$AC$5),"Seuil depasse","OK"))</f>
        <v>OK</v>
      </c>
      <c r="P317" s="25">
        <f t="shared" ca="1" si="28"/>
        <v>0</v>
      </c>
      <c r="Q317" s="25">
        <f t="shared" ca="1" si="29"/>
        <v>0</v>
      </c>
      <c r="R317" s="24">
        <f ca="1">IF(AND(P317=0,Q317=0),0,IFERROR(MAX(ROUNDUP(P317/INDEX(tblClusters[vCPU / noeud (deduit)],MATCH($B317,tblClusters[Cluster],0)),0),ROUNDUP(Q317/INDEX(tblClusters[RAM / noeud - Go (deduit)],MATCH($B317,tblClusters[Cluster],0)),0)),"Flavor a definir"))</f>
        <v>0</v>
      </c>
    </row>
    <row r="318" spans="1:18" x14ac:dyDescent="0.2">
      <c r="A318" s="38">
        <v>46419</v>
      </c>
      <c r="B318" s="21" t="s">
        <v>205</v>
      </c>
      <c r="C318" s="28" t="str">
        <f>IFERROR(INDEX(tblClusters[Utilisation],MATCH($B318,tblClusters[Cluster],0)),"")</f>
        <v>JUMP AEP</v>
      </c>
      <c r="D318" s="28" t="str">
        <f>IFERROR(INDEX(tblClusters[Type (deduit)],MATCH($B318,tblClusters[Cluster],0)),"")</f>
        <v>Dedie</v>
      </c>
      <c r="E318" s="24">
        <f>IFERROR(INDEX(tblClusters[CPU max (cores)],MATCH($B318,tblClusters[Cluster],0)),0)</f>
        <v>384</v>
      </c>
      <c r="F318" s="24">
        <f>IFERROR(INDEX(tblClusters[RAM max (Go)],MATCH($B318,tblClusters[Cluster],0)),0)</f>
        <v>3072</v>
      </c>
      <c r="G318" s="24">
        <f>IFERROR(INDEX(tblClusters[Charge existante CPU hors migration],MATCH($B318,tblClusters[Cluster],0)),0)</f>
        <v>0</v>
      </c>
      <c r="H318" s="24">
        <f>IFERROR(INDEX(tblClusters[Charge existante RAM hors migration (Go)],MATCH($B318,tblClusters[Cluster],0)),0)</f>
        <v>0</v>
      </c>
      <c r="I318" s="24">
        <f ca="1">SUMIFS(tblApplications[CPU cible ROKS],tblApplications[Cluster ROKS cible (auto)],$B318,tblApplications[Mois de bascule prevu],"&lt;="&amp;EOMONTH($A318,0),tblApplications[Inclus projection O/N],"O")</f>
        <v>0</v>
      </c>
      <c r="J318" s="24">
        <f ca="1">SUMIFS(tblApplications[RAM cible ROKS],tblApplications[Cluster ROKS cible (auto)],$B318,tblApplications[Mois de bascule prevu],"&lt;="&amp;EOMONTH($A318,0),tblApplications[Inclus projection O/N],"O")</f>
        <v>0</v>
      </c>
      <c r="K318" s="25">
        <f t="shared" ca="1" si="24"/>
        <v>0</v>
      </c>
      <c r="L318" s="25">
        <f t="shared" ca="1" si="25"/>
        <v>0</v>
      </c>
      <c r="M318" s="26">
        <f t="shared" ca="1" si="26"/>
        <v>0</v>
      </c>
      <c r="N318" s="26">
        <f t="shared" ca="1" si="27"/>
        <v>0</v>
      </c>
      <c r="O318" s="22" t="str">
        <f ca="1">IF(E318=0,IF(K318&gt;0,"Cluster sans capacite provisionnee","n/a"),IF(OR(M318&gt;=Clusters_ROKS!$AC$5,N318&gt;=Clusters_ROKS!$AC$5),"Seuil depasse","OK"))</f>
        <v>OK</v>
      </c>
      <c r="P318" s="25">
        <f t="shared" ca="1" si="28"/>
        <v>0</v>
      </c>
      <c r="Q318" s="25">
        <f t="shared" ca="1" si="29"/>
        <v>0</v>
      </c>
      <c r="R318" s="24">
        <f ca="1">IF(AND(P318=0,Q318=0),0,IFERROR(MAX(ROUNDUP(P318/INDEX(tblClusters[vCPU / noeud (deduit)],MATCH($B318,tblClusters[Cluster],0)),0),ROUNDUP(Q318/INDEX(tblClusters[RAM / noeud - Go (deduit)],MATCH($B318,tblClusters[Cluster],0)),0)),"Flavor a definir"))</f>
        <v>0</v>
      </c>
    </row>
    <row r="319" spans="1:18" x14ac:dyDescent="0.2">
      <c r="A319" s="38">
        <v>46447</v>
      </c>
      <c r="B319" s="21" t="s">
        <v>205</v>
      </c>
      <c r="C319" s="28" t="str">
        <f>IFERROR(INDEX(tblClusters[Utilisation],MATCH($B319,tblClusters[Cluster],0)),"")</f>
        <v>JUMP AEP</v>
      </c>
      <c r="D319" s="28" t="str">
        <f>IFERROR(INDEX(tblClusters[Type (deduit)],MATCH($B319,tblClusters[Cluster],0)),"")</f>
        <v>Dedie</v>
      </c>
      <c r="E319" s="24">
        <f>IFERROR(INDEX(tblClusters[CPU max (cores)],MATCH($B319,tblClusters[Cluster],0)),0)</f>
        <v>384</v>
      </c>
      <c r="F319" s="24">
        <f>IFERROR(INDEX(tblClusters[RAM max (Go)],MATCH($B319,tblClusters[Cluster],0)),0)</f>
        <v>3072</v>
      </c>
      <c r="G319" s="24">
        <f>IFERROR(INDEX(tblClusters[Charge existante CPU hors migration],MATCH($B319,tblClusters[Cluster],0)),0)</f>
        <v>0</v>
      </c>
      <c r="H319" s="24">
        <f>IFERROR(INDEX(tblClusters[Charge existante RAM hors migration (Go)],MATCH($B319,tblClusters[Cluster],0)),0)</f>
        <v>0</v>
      </c>
      <c r="I319" s="24">
        <f ca="1">SUMIFS(tblApplications[CPU cible ROKS],tblApplications[Cluster ROKS cible (auto)],$B319,tblApplications[Mois de bascule prevu],"&lt;="&amp;EOMONTH($A319,0),tblApplications[Inclus projection O/N],"O")</f>
        <v>0</v>
      </c>
      <c r="J319" s="24">
        <f ca="1">SUMIFS(tblApplications[RAM cible ROKS],tblApplications[Cluster ROKS cible (auto)],$B319,tblApplications[Mois de bascule prevu],"&lt;="&amp;EOMONTH($A319,0),tblApplications[Inclus projection O/N],"O")</f>
        <v>0</v>
      </c>
      <c r="K319" s="25">
        <f t="shared" ca="1" si="24"/>
        <v>0</v>
      </c>
      <c r="L319" s="25">
        <f t="shared" ca="1" si="25"/>
        <v>0</v>
      </c>
      <c r="M319" s="26">
        <f t="shared" ca="1" si="26"/>
        <v>0</v>
      </c>
      <c r="N319" s="26">
        <f t="shared" ca="1" si="27"/>
        <v>0</v>
      </c>
      <c r="O319" s="22" t="str">
        <f ca="1">IF(E319=0,IF(K319&gt;0,"Cluster sans capacite provisionnee","n/a"),IF(OR(M319&gt;=Clusters_ROKS!$AC$5,N319&gt;=Clusters_ROKS!$AC$5),"Seuil depasse","OK"))</f>
        <v>OK</v>
      </c>
      <c r="P319" s="25">
        <f t="shared" ca="1" si="28"/>
        <v>0</v>
      </c>
      <c r="Q319" s="25">
        <f t="shared" ca="1" si="29"/>
        <v>0</v>
      </c>
      <c r="R319" s="24">
        <f ca="1">IF(AND(P319=0,Q319=0),0,IFERROR(MAX(ROUNDUP(P319/INDEX(tblClusters[vCPU / noeud (deduit)],MATCH($B319,tblClusters[Cluster],0)),0),ROUNDUP(Q319/INDEX(tblClusters[RAM / noeud - Go (deduit)],MATCH($B319,tblClusters[Cluster],0)),0)),"Flavor a definir"))</f>
        <v>0</v>
      </c>
    </row>
    <row r="320" spans="1:18" x14ac:dyDescent="0.2">
      <c r="A320" s="38">
        <v>46478</v>
      </c>
      <c r="B320" s="21" t="s">
        <v>205</v>
      </c>
      <c r="C320" s="28" t="str">
        <f>IFERROR(INDEX(tblClusters[Utilisation],MATCH($B320,tblClusters[Cluster],0)),"")</f>
        <v>JUMP AEP</v>
      </c>
      <c r="D320" s="28" t="str">
        <f>IFERROR(INDEX(tblClusters[Type (deduit)],MATCH($B320,tblClusters[Cluster],0)),"")</f>
        <v>Dedie</v>
      </c>
      <c r="E320" s="24">
        <f>IFERROR(INDEX(tblClusters[CPU max (cores)],MATCH($B320,tblClusters[Cluster],0)),0)</f>
        <v>384</v>
      </c>
      <c r="F320" s="24">
        <f>IFERROR(INDEX(tblClusters[RAM max (Go)],MATCH($B320,tblClusters[Cluster],0)),0)</f>
        <v>3072</v>
      </c>
      <c r="G320" s="24">
        <f>IFERROR(INDEX(tblClusters[Charge existante CPU hors migration],MATCH($B320,tblClusters[Cluster],0)),0)</f>
        <v>0</v>
      </c>
      <c r="H320" s="24">
        <f>IFERROR(INDEX(tblClusters[Charge existante RAM hors migration (Go)],MATCH($B320,tblClusters[Cluster],0)),0)</f>
        <v>0</v>
      </c>
      <c r="I320" s="24">
        <f ca="1">SUMIFS(tblApplications[CPU cible ROKS],tblApplications[Cluster ROKS cible (auto)],$B320,tblApplications[Mois de bascule prevu],"&lt;="&amp;EOMONTH($A320,0),tblApplications[Inclus projection O/N],"O")</f>
        <v>0</v>
      </c>
      <c r="J320" s="24">
        <f ca="1">SUMIFS(tblApplications[RAM cible ROKS],tblApplications[Cluster ROKS cible (auto)],$B320,tblApplications[Mois de bascule prevu],"&lt;="&amp;EOMONTH($A320,0),tblApplications[Inclus projection O/N],"O")</f>
        <v>0</v>
      </c>
      <c r="K320" s="25">
        <f t="shared" ca="1" si="24"/>
        <v>0</v>
      </c>
      <c r="L320" s="25">
        <f t="shared" ca="1" si="25"/>
        <v>0</v>
      </c>
      <c r="M320" s="26">
        <f t="shared" ca="1" si="26"/>
        <v>0</v>
      </c>
      <c r="N320" s="26">
        <f t="shared" ca="1" si="27"/>
        <v>0</v>
      </c>
      <c r="O320" s="22" t="str">
        <f ca="1">IF(E320=0,IF(K320&gt;0,"Cluster sans capacite provisionnee","n/a"),IF(OR(M320&gt;=Clusters_ROKS!$AC$5,N320&gt;=Clusters_ROKS!$AC$5),"Seuil depasse","OK"))</f>
        <v>OK</v>
      </c>
      <c r="P320" s="25">
        <f t="shared" ca="1" si="28"/>
        <v>0</v>
      </c>
      <c r="Q320" s="25">
        <f t="shared" ca="1" si="29"/>
        <v>0</v>
      </c>
      <c r="R320" s="24">
        <f ca="1">IF(AND(P320=0,Q320=0),0,IFERROR(MAX(ROUNDUP(P320/INDEX(tblClusters[vCPU / noeud (deduit)],MATCH($B320,tblClusters[Cluster],0)),0),ROUNDUP(Q320/INDEX(tblClusters[RAM / noeud - Go (deduit)],MATCH($B320,tblClusters[Cluster],0)),0)),"Flavor a definir"))</f>
        <v>0</v>
      </c>
    </row>
    <row r="321" spans="1:18" x14ac:dyDescent="0.2">
      <c r="A321" s="38">
        <v>46508</v>
      </c>
      <c r="B321" s="21" t="s">
        <v>205</v>
      </c>
      <c r="C321" s="28" t="str">
        <f>IFERROR(INDEX(tblClusters[Utilisation],MATCH($B321,tblClusters[Cluster],0)),"")</f>
        <v>JUMP AEP</v>
      </c>
      <c r="D321" s="28" t="str">
        <f>IFERROR(INDEX(tblClusters[Type (deduit)],MATCH($B321,tblClusters[Cluster],0)),"")</f>
        <v>Dedie</v>
      </c>
      <c r="E321" s="24">
        <f>IFERROR(INDEX(tblClusters[CPU max (cores)],MATCH($B321,tblClusters[Cluster],0)),0)</f>
        <v>384</v>
      </c>
      <c r="F321" s="24">
        <f>IFERROR(INDEX(tblClusters[RAM max (Go)],MATCH($B321,tblClusters[Cluster],0)),0)</f>
        <v>3072</v>
      </c>
      <c r="G321" s="24">
        <f>IFERROR(INDEX(tblClusters[Charge existante CPU hors migration],MATCH($B321,tblClusters[Cluster],0)),0)</f>
        <v>0</v>
      </c>
      <c r="H321" s="24">
        <f>IFERROR(INDEX(tblClusters[Charge existante RAM hors migration (Go)],MATCH($B321,tblClusters[Cluster],0)),0)</f>
        <v>0</v>
      </c>
      <c r="I321" s="24">
        <f ca="1">SUMIFS(tblApplications[CPU cible ROKS],tblApplications[Cluster ROKS cible (auto)],$B321,tblApplications[Mois de bascule prevu],"&lt;="&amp;EOMONTH($A321,0),tblApplications[Inclus projection O/N],"O")</f>
        <v>0</v>
      </c>
      <c r="J321" s="24">
        <f ca="1">SUMIFS(tblApplications[RAM cible ROKS],tblApplications[Cluster ROKS cible (auto)],$B321,tblApplications[Mois de bascule prevu],"&lt;="&amp;EOMONTH($A321,0),tblApplications[Inclus projection O/N],"O")</f>
        <v>0</v>
      </c>
      <c r="K321" s="25">
        <f t="shared" ca="1" si="24"/>
        <v>0</v>
      </c>
      <c r="L321" s="25">
        <f t="shared" ca="1" si="25"/>
        <v>0</v>
      </c>
      <c r="M321" s="26">
        <f t="shared" ca="1" si="26"/>
        <v>0</v>
      </c>
      <c r="N321" s="26">
        <f t="shared" ca="1" si="27"/>
        <v>0</v>
      </c>
      <c r="O321" s="22" t="str">
        <f ca="1">IF(E321=0,IF(K321&gt;0,"Cluster sans capacite provisionnee","n/a"),IF(OR(M321&gt;=Clusters_ROKS!$AC$5,N321&gt;=Clusters_ROKS!$AC$5),"Seuil depasse","OK"))</f>
        <v>OK</v>
      </c>
      <c r="P321" s="25">
        <f t="shared" ca="1" si="28"/>
        <v>0</v>
      </c>
      <c r="Q321" s="25">
        <f t="shared" ca="1" si="29"/>
        <v>0</v>
      </c>
      <c r="R321" s="24">
        <f ca="1">IF(AND(P321=0,Q321=0),0,IFERROR(MAX(ROUNDUP(P321/INDEX(tblClusters[vCPU / noeud (deduit)],MATCH($B321,tblClusters[Cluster],0)),0),ROUNDUP(Q321/INDEX(tblClusters[RAM / noeud - Go (deduit)],MATCH($B321,tblClusters[Cluster],0)),0)),"Flavor a definir"))</f>
        <v>0</v>
      </c>
    </row>
    <row r="322" spans="1:18" x14ac:dyDescent="0.2">
      <c r="A322" s="38">
        <v>46539</v>
      </c>
      <c r="B322" s="21" t="s">
        <v>205</v>
      </c>
      <c r="C322" s="28" t="str">
        <f>IFERROR(INDEX(tblClusters[Utilisation],MATCH($B322,tblClusters[Cluster],0)),"")</f>
        <v>JUMP AEP</v>
      </c>
      <c r="D322" s="28" t="str">
        <f>IFERROR(INDEX(tblClusters[Type (deduit)],MATCH($B322,tblClusters[Cluster],0)),"")</f>
        <v>Dedie</v>
      </c>
      <c r="E322" s="24">
        <f>IFERROR(INDEX(tblClusters[CPU max (cores)],MATCH($B322,tblClusters[Cluster],0)),0)</f>
        <v>384</v>
      </c>
      <c r="F322" s="24">
        <f>IFERROR(INDEX(tblClusters[RAM max (Go)],MATCH($B322,tblClusters[Cluster],0)),0)</f>
        <v>3072</v>
      </c>
      <c r="G322" s="24">
        <f>IFERROR(INDEX(tblClusters[Charge existante CPU hors migration],MATCH($B322,tblClusters[Cluster],0)),0)</f>
        <v>0</v>
      </c>
      <c r="H322" s="24">
        <f>IFERROR(INDEX(tblClusters[Charge existante RAM hors migration (Go)],MATCH($B322,tblClusters[Cluster],0)),0)</f>
        <v>0</v>
      </c>
      <c r="I322" s="24">
        <f ca="1">SUMIFS(tblApplications[CPU cible ROKS],tblApplications[Cluster ROKS cible (auto)],$B322,tblApplications[Mois de bascule prevu],"&lt;="&amp;EOMONTH($A322,0),tblApplications[Inclus projection O/N],"O")</f>
        <v>0</v>
      </c>
      <c r="J322" s="24">
        <f ca="1">SUMIFS(tblApplications[RAM cible ROKS],tblApplications[Cluster ROKS cible (auto)],$B322,tblApplications[Mois de bascule prevu],"&lt;="&amp;EOMONTH($A322,0),tblApplications[Inclus projection O/N],"O")</f>
        <v>0</v>
      </c>
      <c r="K322" s="25">
        <f t="shared" ca="1" si="24"/>
        <v>0</v>
      </c>
      <c r="L322" s="25">
        <f t="shared" ca="1" si="25"/>
        <v>0</v>
      </c>
      <c r="M322" s="26">
        <f t="shared" ca="1" si="26"/>
        <v>0</v>
      </c>
      <c r="N322" s="26">
        <f t="shared" ca="1" si="27"/>
        <v>0</v>
      </c>
      <c r="O322" s="22" t="str">
        <f ca="1">IF(E322=0,IF(K322&gt;0,"Cluster sans capacite provisionnee","n/a"),IF(OR(M322&gt;=Clusters_ROKS!$AC$5,N322&gt;=Clusters_ROKS!$AC$5),"Seuil depasse","OK"))</f>
        <v>OK</v>
      </c>
      <c r="P322" s="25">
        <f t="shared" ca="1" si="28"/>
        <v>0</v>
      </c>
      <c r="Q322" s="25">
        <f t="shared" ca="1" si="29"/>
        <v>0</v>
      </c>
      <c r="R322" s="24">
        <f ca="1">IF(AND(P322=0,Q322=0),0,IFERROR(MAX(ROUNDUP(P322/INDEX(tblClusters[vCPU / noeud (deduit)],MATCH($B322,tblClusters[Cluster],0)),0),ROUNDUP(Q322/INDEX(tblClusters[RAM / noeud - Go (deduit)],MATCH($B322,tblClusters[Cluster],0)),0)),"Flavor a definir"))</f>
        <v>0</v>
      </c>
    </row>
    <row r="323" spans="1:18" x14ac:dyDescent="0.2">
      <c r="A323" s="38">
        <v>46569</v>
      </c>
      <c r="B323" s="21" t="s">
        <v>205</v>
      </c>
      <c r="C323" s="28" t="str">
        <f>IFERROR(INDEX(tblClusters[Utilisation],MATCH($B323,tblClusters[Cluster],0)),"")</f>
        <v>JUMP AEP</v>
      </c>
      <c r="D323" s="28" t="str">
        <f>IFERROR(INDEX(tblClusters[Type (deduit)],MATCH($B323,tblClusters[Cluster],0)),"")</f>
        <v>Dedie</v>
      </c>
      <c r="E323" s="24">
        <f>IFERROR(INDEX(tblClusters[CPU max (cores)],MATCH($B323,tblClusters[Cluster],0)),0)</f>
        <v>384</v>
      </c>
      <c r="F323" s="24">
        <f>IFERROR(INDEX(tblClusters[RAM max (Go)],MATCH($B323,tblClusters[Cluster],0)),0)</f>
        <v>3072</v>
      </c>
      <c r="G323" s="24">
        <f>IFERROR(INDEX(tblClusters[Charge existante CPU hors migration],MATCH($B323,tblClusters[Cluster],0)),0)</f>
        <v>0</v>
      </c>
      <c r="H323" s="24">
        <f>IFERROR(INDEX(tblClusters[Charge existante RAM hors migration (Go)],MATCH($B323,tblClusters[Cluster],0)),0)</f>
        <v>0</v>
      </c>
      <c r="I323" s="24">
        <f ca="1">SUMIFS(tblApplications[CPU cible ROKS],tblApplications[Cluster ROKS cible (auto)],$B323,tblApplications[Mois de bascule prevu],"&lt;="&amp;EOMONTH($A323,0),tblApplications[Inclus projection O/N],"O")</f>
        <v>0</v>
      </c>
      <c r="J323" s="24">
        <f ca="1">SUMIFS(tblApplications[RAM cible ROKS],tblApplications[Cluster ROKS cible (auto)],$B323,tblApplications[Mois de bascule prevu],"&lt;="&amp;EOMONTH($A323,0),tblApplications[Inclus projection O/N],"O")</f>
        <v>0</v>
      </c>
      <c r="K323" s="25">
        <f t="shared" ca="1" si="24"/>
        <v>0</v>
      </c>
      <c r="L323" s="25">
        <f t="shared" ca="1" si="25"/>
        <v>0</v>
      </c>
      <c r="M323" s="26">
        <f t="shared" ca="1" si="26"/>
        <v>0</v>
      </c>
      <c r="N323" s="26">
        <f t="shared" ca="1" si="27"/>
        <v>0</v>
      </c>
      <c r="O323" s="22" t="str">
        <f ca="1">IF(E323=0,IF(K323&gt;0,"Cluster sans capacite provisionnee","n/a"),IF(OR(M323&gt;=Clusters_ROKS!$AC$5,N323&gt;=Clusters_ROKS!$AC$5),"Seuil depasse","OK"))</f>
        <v>OK</v>
      </c>
      <c r="P323" s="25">
        <f t="shared" ca="1" si="28"/>
        <v>0</v>
      </c>
      <c r="Q323" s="25">
        <f t="shared" ca="1" si="29"/>
        <v>0</v>
      </c>
      <c r="R323" s="24">
        <f ca="1">IF(AND(P323=0,Q323=0),0,IFERROR(MAX(ROUNDUP(P323/INDEX(tblClusters[vCPU / noeud (deduit)],MATCH($B323,tblClusters[Cluster],0)),0),ROUNDUP(Q323/INDEX(tblClusters[RAM / noeud - Go (deduit)],MATCH($B323,tblClusters[Cluster],0)),0)),"Flavor a definir"))</f>
        <v>0</v>
      </c>
    </row>
    <row r="324" spans="1:18" x14ac:dyDescent="0.2">
      <c r="A324" s="38">
        <v>46600</v>
      </c>
      <c r="B324" s="21" t="s">
        <v>205</v>
      </c>
      <c r="C324" s="28" t="str">
        <f>IFERROR(INDEX(tblClusters[Utilisation],MATCH($B324,tblClusters[Cluster],0)),"")</f>
        <v>JUMP AEP</v>
      </c>
      <c r="D324" s="28" t="str">
        <f>IFERROR(INDEX(tblClusters[Type (deduit)],MATCH($B324,tblClusters[Cluster],0)),"")</f>
        <v>Dedie</v>
      </c>
      <c r="E324" s="24">
        <f>IFERROR(INDEX(tblClusters[CPU max (cores)],MATCH($B324,tblClusters[Cluster],0)),0)</f>
        <v>384</v>
      </c>
      <c r="F324" s="24">
        <f>IFERROR(INDEX(tblClusters[RAM max (Go)],MATCH($B324,tblClusters[Cluster],0)),0)</f>
        <v>3072</v>
      </c>
      <c r="G324" s="24">
        <f>IFERROR(INDEX(tblClusters[Charge existante CPU hors migration],MATCH($B324,tblClusters[Cluster],0)),0)</f>
        <v>0</v>
      </c>
      <c r="H324" s="24">
        <f>IFERROR(INDEX(tblClusters[Charge existante RAM hors migration (Go)],MATCH($B324,tblClusters[Cluster],0)),0)</f>
        <v>0</v>
      </c>
      <c r="I324" s="24">
        <f ca="1">SUMIFS(tblApplications[CPU cible ROKS],tblApplications[Cluster ROKS cible (auto)],$B324,tblApplications[Mois de bascule prevu],"&lt;="&amp;EOMONTH($A324,0),tblApplications[Inclus projection O/N],"O")</f>
        <v>0</v>
      </c>
      <c r="J324" s="24">
        <f ca="1">SUMIFS(tblApplications[RAM cible ROKS],tblApplications[Cluster ROKS cible (auto)],$B324,tblApplications[Mois de bascule prevu],"&lt;="&amp;EOMONTH($A324,0),tblApplications[Inclus projection O/N],"O")</f>
        <v>0</v>
      </c>
      <c r="K324" s="25">
        <f t="shared" ca="1" si="24"/>
        <v>0</v>
      </c>
      <c r="L324" s="25">
        <f t="shared" ca="1" si="25"/>
        <v>0</v>
      </c>
      <c r="M324" s="26">
        <f t="shared" ca="1" si="26"/>
        <v>0</v>
      </c>
      <c r="N324" s="26">
        <f t="shared" ca="1" si="27"/>
        <v>0</v>
      </c>
      <c r="O324" s="22" t="str">
        <f ca="1">IF(E324=0,IF(K324&gt;0,"Cluster sans capacite provisionnee","n/a"),IF(OR(M324&gt;=Clusters_ROKS!$AC$5,N324&gt;=Clusters_ROKS!$AC$5),"Seuil depasse","OK"))</f>
        <v>OK</v>
      </c>
      <c r="P324" s="25">
        <f t="shared" ca="1" si="28"/>
        <v>0</v>
      </c>
      <c r="Q324" s="25">
        <f t="shared" ca="1" si="29"/>
        <v>0</v>
      </c>
      <c r="R324" s="24">
        <f ca="1">IF(AND(P324=0,Q324=0),0,IFERROR(MAX(ROUNDUP(P324/INDEX(tblClusters[vCPU / noeud (deduit)],MATCH($B324,tblClusters[Cluster],0)),0),ROUNDUP(Q324/INDEX(tblClusters[RAM / noeud - Go (deduit)],MATCH($B324,tblClusters[Cluster],0)),0)),"Flavor a definir"))</f>
        <v>0</v>
      </c>
    </row>
    <row r="325" spans="1:18" x14ac:dyDescent="0.2">
      <c r="A325" s="38">
        <v>46631</v>
      </c>
      <c r="B325" s="21" t="s">
        <v>205</v>
      </c>
      <c r="C325" s="28" t="str">
        <f>IFERROR(INDEX(tblClusters[Utilisation],MATCH($B325,tblClusters[Cluster],0)),"")</f>
        <v>JUMP AEP</v>
      </c>
      <c r="D325" s="28" t="str">
        <f>IFERROR(INDEX(tblClusters[Type (deduit)],MATCH($B325,tblClusters[Cluster],0)),"")</f>
        <v>Dedie</v>
      </c>
      <c r="E325" s="24">
        <f>IFERROR(INDEX(tblClusters[CPU max (cores)],MATCH($B325,tblClusters[Cluster],0)),0)</f>
        <v>384</v>
      </c>
      <c r="F325" s="24">
        <f>IFERROR(INDEX(tblClusters[RAM max (Go)],MATCH($B325,tblClusters[Cluster],0)),0)</f>
        <v>3072</v>
      </c>
      <c r="G325" s="24">
        <f>IFERROR(INDEX(tblClusters[Charge existante CPU hors migration],MATCH($B325,tblClusters[Cluster],0)),0)</f>
        <v>0</v>
      </c>
      <c r="H325" s="24">
        <f>IFERROR(INDEX(tblClusters[Charge existante RAM hors migration (Go)],MATCH($B325,tblClusters[Cluster],0)),0)</f>
        <v>0</v>
      </c>
      <c r="I325" s="24">
        <f ca="1">SUMIFS(tblApplications[CPU cible ROKS],tblApplications[Cluster ROKS cible (auto)],$B325,tblApplications[Mois de bascule prevu],"&lt;="&amp;EOMONTH($A325,0),tblApplications[Inclus projection O/N],"O")</f>
        <v>0</v>
      </c>
      <c r="J325" s="24">
        <f ca="1">SUMIFS(tblApplications[RAM cible ROKS],tblApplications[Cluster ROKS cible (auto)],$B325,tblApplications[Mois de bascule prevu],"&lt;="&amp;EOMONTH($A325,0),tblApplications[Inclus projection O/N],"O")</f>
        <v>0</v>
      </c>
      <c r="K325" s="25">
        <f t="shared" ref="K325:K364" ca="1" si="30">G325+I325</f>
        <v>0</v>
      </c>
      <c r="L325" s="25">
        <f t="shared" ref="L325:L364" ca="1" si="31">H325+J325</f>
        <v>0</v>
      </c>
      <c r="M325" s="26">
        <f t="shared" ref="M325:M364" ca="1" si="32">IF(E325=0,"",K325/E325)</f>
        <v>0</v>
      </c>
      <c r="N325" s="26">
        <f t="shared" ref="N325:N364" ca="1" si="33">IF(F325=0,"",L325/F325)</f>
        <v>0</v>
      </c>
      <c r="O325" s="22" t="str">
        <f ca="1">IF(E325=0,IF(K325&gt;0,"Cluster sans capacite provisionnee","n/a"),IF(OR(M325&gt;=Clusters_ROKS!$AC$5,N325&gt;=Clusters_ROKS!$AC$5),"Seuil depasse","OK"))</f>
        <v>OK</v>
      </c>
      <c r="P325" s="25">
        <f t="shared" ref="P325:P364" ca="1" si="34">MAX(0,K325-E325)</f>
        <v>0</v>
      </c>
      <c r="Q325" s="25">
        <f t="shared" ref="Q325:Q364" ca="1" si="35">MAX(0,L325-F325)</f>
        <v>0</v>
      </c>
      <c r="R325" s="24">
        <f ca="1">IF(AND(P325=0,Q325=0),0,IFERROR(MAX(ROUNDUP(P325/INDEX(tblClusters[vCPU / noeud (deduit)],MATCH($B325,tblClusters[Cluster],0)),0),ROUNDUP(Q325/INDEX(tblClusters[RAM / noeud - Go (deduit)],MATCH($B325,tblClusters[Cluster],0)),0)),"Flavor a definir"))</f>
        <v>0</v>
      </c>
    </row>
    <row r="326" spans="1:18" x14ac:dyDescent="0.2">
      <c r="A326" s="38">
        <v>46661</v>
      </c>
      <c r="B326" s="21" t="s">
        <v>205</v>
      </c>
      <c r="C326" s="28" t="str">
        <f>IFERROR(INDEX(tblClusters[Utilisation],MATCH($B326,tblClusters[Cluster],0)),"")</f>
        <v>JUMP AEP</v>
      </c>
      <c r="D326" s="28" t="str">
        <f>IFERROR(INDEX(tblClusters[Type (deduit)],MATCH($B326,tblClusters[Cluster],0)),"")</f>
        <v>Dedie</v>
      </c>
      <c r="E326" s="24">
        <f>IFERROR(INDEX(tblClusters[CPU max (cores)],MATCH($B326,tblClusters[Cluster],0)),0)</f>
        <v>384</v>
      </c>
      <c r="F326" s="24">
        <f>IFERROR(INDEX(tblClusters[RAM max (Go)],MATCH($B326,tblClusters[Cluster],0)),0)</f>
        <v>3072</v>
      </c>
      <c r="G326" s="24">
        <f>IFERROR(INDEX(tblClusters[Charge existante CPU hors migration],MATCH($B326,tblClusters[Cluster],0)),0)</f>
        <v>0</v>
      </c>
      <c r="H326" s="24">
        <f>IFERROR(INDEX(tblClusters[Charge existante RAM hors migration (Go)],MATCH($B326,tblClusters[Cluster],0)),0)</f>
        <v>0</v>
      </c>
      <c r="I326" s="24">
        <f ca="1">SUMIFS(tblApplications[CPU cible ROKS],tblApplications[Cluster ROKS cible (auto)],$B326,tblApplications[Mois de bascule prevu],"&lt;="&amp;EOMONTH($A326,0),tblApplications[Inclus projection O/N],"O")</f>
        <v>0</v>
      </c>
      <c r="J326" s="24">
        <f ca="1">SUMIFS(tblApplications[RAM cible ROKS],tblApplications[Cluster ROKS cible (auto)],$B326,tblApplications[Mois de bascule prevu],"&lt;="&amp;EOMONTH($A326,0),tblApplications[Inclus projection O/N],"O")</f>
        <v>0</v>
      </c>
      <c r="K326" s="25">
        <f t="shared" ca="1" si="30"/>
        <v>0</v>
      </c>
      <c r="L326" s="25">
        <f t="shared" ca="1" si="31"/>
        <v>0</v>
      </c>
      <c r="M326" s="26">
        <f t="shared" ca="1" si="32"/>
        <v>0</v>
      </c>
      <c r="N326" s="26">
        <f t="shared" ca="1" si="33"/>
        <v>0</v>
      </c>
      <c r="O326" s="22" t="str">
        <f ca="1">IF(E326=0,IF(K326&gt;0,"Cluster sans capacite provisionnee","n/a"),IF(OR(M326&gt;=Clusters_ROKS!$AC$5,N326&gt;=Clusters_ROKS!$AC$5),"Seuil depasse","OK"))</f>
        <v>OK</v>
      </c>
      <c r="P326" s="25">
        <f t="shared" ca="1" si="34"/>
        <v>0</v>
      </c>
      <c r="Q326" s="25">
        <f t="shared" ca="1" si="35"/>
        <v>0</v>
      </c>
      <c r="R326" s="24">
        <f ca="1">IF(AND(P326=0,Q326=0),0,IFERROR(MAX(ROUNDUP(P326/INDEX(tblClusters[vCPU / noeud (deduit)],MATCH($B326,tblClusters[Cluster],0)),0),ROUNDUP(Q326/INDEX(tblClusters[RAM / noeud - Go (deduit)],MATCH($B326,tblClusters[Cluster],0)),0)),"Flavor a definir"))</f>
        <v>0</v>
      </c>
    </row>
    <row r="327" spans="1:18" x14ac:dyDescent="0.2">
      <c r="A327" s="38">
        <v>46692</v>
      </c>
      <c r="B327" s="21" t="s">
        <v>205</v>
      </c>
      <c r="C327" s="28" t="str">
        <f>IFERROR(INDEX(tblClusters[Utilisation],MATCH($B327,tblClusters[Cluster],0)),"")</f>
        <v>JUMP AEP</v>
      </c>
      <c r="D327" s="28" t="str">
        <f>IFERROR(INDEX(tblClusters[Type (deduit)],MATCH($B327,tblClusters[Cluster],0)),"")</f>
        <v>Dedie</v>
      </c>
      <c r="E327" s="24">
        <f>IFERROR(INDEX(tblClusters[CPU max (cores)],MATCH($B327,tblClusters[Cluster],0)),0)</f>
        <v>384</v>
      </c>
      <c r="F327" s="24">
        <f>IFERROR(INDEX(tblClusters[RAM max (Go)],MATCH($B327,tblClusters[Cluster],0)),0)</f>
        <v>3072</v>
      </c>
      <c r="G327" s="24">
        <f>IFERROR(INDEX(tblClusters[Charge existante CPU hors migration],MATCH($B327,tblClusters[Cluster],0)),0)</f>
        <v>0</v>
      </c>
      <c r="H327" s="24">
        <f>IFERROR(INDEX(tblClusters[Charge existante RAM hors migration (Go)],MATCH($B327,tblClusters[Cluster],0)),0)</f>
        <v>0</v>
      </c>
      <c r="I327" s="24">
        <f ca="1">SUMIFS(tblApplications[CPU cible ROKS],tblApplications[Cluster ROKS cible (auto)],$B327,tblApplications[Mois de bascule prevu],"&lt;="&amp;EOMONTH($A327,0),tblApplications[Inclus projection O/N],"O")</f>
        <v>0</v>
      </c>
      <c r="J327" s="24">
        <f ca="1">SUMIFS(tblApplications[RAM cible ROKS],tblApplications[Cluster ROKS cible (auto)],$B327,tblApplications[Mois de bascule prevu],"&lt;="&amp;EOMONTH($A327,0),tblApplications[Inclus projection O/N],"O")</f>
        <v>0</v>
      </c>
      <c r="K327" s="25">
        <f t="shared" ca="1" si="30"/>
        <v>0</v>
      </c>
      <c r="L327" s="25">
        <f t="shared" ca="1" si="31"/>
        <v>0</v>
      </c>
      <c r="M327" s="26">
        <f t="shared" ca="1" si="32"/>
        <v>0</v>
      </c>
      <c r="N327" s="26">
        <f t="shared" ca="1" si="33"/>
        <v>0</v>
      </c>
      <c r="O327" s="22" t="str">
        <f ca="1">IF(E327=0,IF(K327&gt;0,"Cluster sans capacite provisionnee","n/a"),IF(OR(M327&gt;=Clusters_ROKS!$AC$5,N327&gt;=Clusters_ROKS!$AC$5),"Seuil depasse","OK"))</f>
        <v>OK</v>
      </c>
      <c r="P327" s="25">
        <f t="shared" ca="1" si="34"/>
        <v>0</v>
      </c>
      <c r="Q327" s="25">
        <f t="shared" ca="1" si="35"/>
        <v>0</v>
      </c>
      <c r="R327" s="24">
        <f ca="1">IF(AND(P327=0,Q327=0),0,IFERROR(MAX(ROUNDUP(P327/INDEX(tblClusters[vCPU / noeud (deduit)],MATCH($B327,tblClusters[Cluster],0)),0),ROUNDUP(Q327/INDEX(tblClusters[RAM / noeud - Go (deduit)],MATCH($B327,tblClusters[Cluster],0)),0)),"Flavor a definir"))</f>
        <v>0</v>
      </c>
    </row>
    <row r="328" spans="1:18" x14ac:dyDescent="0.2">
      <c r="A328" s="38">
        <v>46722</v>
      </c>
      <c r="B328" s="21" t="s">
        <v>205</v>
      </c>
      <c r="C328" s="28" t="str">
        <f>IFERROR(INDEX(tblClusters[Utilisation],MATCH($B328,tblClusters[Cluster],0)),"")</f>
        <v>JUMP AEP</v>
      </c>
      <c r="D328" s="28" t="str">
        <f>IFERROR(INDEX(tblClusters[Type (deduit)],MATCH($B328,tblClusters[Cluster],0)),"")</f>
        <v>Dedie</v>
      </c>
      <c r="E328" s="24">
        <f>IFERROR(INDEX(tblClusters[CPU max (cores)],MATCH($B328,tblClusters[Cluster],0)),0)</f>
        <v>384</v>
      </c>
      <c r="F328" s="24">
        <f>IFERROR(INDEX(tblClusters[RAM max (Go)],MATCH($B328,tblClusters[Cluster],0)),0)</f>
        <v>3072</v>
      </c>
      <c r="G328" s="24">
        <f>IFERROR(INDEX(tblClusters[Charge existante CPU hors migration],MATCH($B328,tblClusters[Cluster],0)),0)</f>
        <v>0</v>
      </c>
      <c r="H328" s="24">
        <f>IFERROR(INDEX(tblClusters[Charge existante RAM hors migration (Go)],MATCH($B328,tblClusters[Cluster],0)),0)</f>
        <v>0</v>
      </c>
      <c r="I328" s="24">
        <f ca="1">SUMIFS(tblApplications[CPU cible ROKS],tblApplications[Cluster ROKS cible (auto)],$B328,tblApplications[Mois de bascule prevu],"&lt;="&amp;EOMONTH($A328,0),tblApplications[Inclus projection O/N],"O")</f>
        <v>0</v>
      </c>
      <c r="J328" s="24">
        <f ca="1">SUMIFS(tblApplications[RAM cible ROKS],tblApplications[Cluster ROKS cible (auto)],$B328,tblApplications[Mois de bascule prevu],"&lt;="&amp;EOMONTH($A328,0),tblApplications[Inclus projection O/N],"O")</f>
        <v>0</v>
      </c>
      <c r="K328" s="25">
        <f t="shared" ca="1" si="30"/>
        <v>0</v>
      </c>
      <c r="L328" s="25">
        <f t="shared" ca="1" si="31"/>
        <v>0</v>
      </c>
      <c r="M328" s="26">
        <f t="shared" ca="1" si="32"/>
        <v>0</v>
      </c>
      <c r="N328" s="26">
        <f t="shared" ca="1" si="33"/>
        <v>0</v>
      </c>
      <c r="O328" s="22" t="str">
        <f ca="1">IF(E328=0,IF(K328&gt;0,"Cluster sans capacite provisionnee","n/a"),IF(OR(M328&gt;=Clusters_ROKS!$AC$5,N328&gt;=Clusters_ROKS!$AC$5),"Seuil depasse","OK"))</f>
        <v>OK</v>
      </c>
      <c r="P328" s="25">
        <f t="shared" ca="1" si="34"/>
        <v>0</v>
      </c>
      <c r="Q328" s="25">
        <f t="shared" ca="1" si="35"/>
        <v>0</v>
      </c>
      <c r="R328" s="24">
        <f ca="1">IF(AND(P328=0,Q328=0),0,IFERROR(MAX(ROUNDUP(P328/INDEX(tblClusters[vCPU / noeud (deduit)],MATCH($B328,tblClusters[Cluster],0)),0),ROUNDUP(Q328/INDEX(tblClusters[RAM / noeud - Go (deduit)],MATCH($B328,tblClusters[Cluster],0)),0)),"Flavor a definir"))</f>
        <v>0</v>
      </c>
    </row>
    <row r="329" spans="1:18" x14ac:dyDescent="0.2">
      <c r="A329" s="38">
        <v>46388</v>
      </c>
      <c r="B329" s="21" t="s">
        <v>206</v>
      </c>
      <c r="C329" s="28" t="str">
        <f>IFERROR(INDEX(tblClusters[Utilisation],MATCH($B329,tblClusters[Cluster],0)),"")</f>
        <v>LATAM NO-SEC PROD</v>
      </c>
      <c r="D329" s="28" t="str">
        <f>IFERROR(INDEX(tblClusters[Type (deduit)],MATCH($B329,tblClusters[Cluster],0)),"")</f>
        <v>Dedie</v>
      </c>
      <c r="E329" s="24">
        <f>IFERROR(INDEX(tblClusters[CPU max (cores)],MATCH($B329,tblClusters[Cluster],0)),0)</f>
        <v>0</v>
      </c>
      <c r="F329" s="24">
        <f>IFERROR(INDEX(tblClusters[RAM max (Go)],MATCH($B329,tblClusters[Cluster],0)),0)</f>
        <v>0</v>
      </c>
      <c r="G329" s="24">
        <f>IFERROR(INDEX(tblClusters[Charge existante CPU hors migration],MATCH($B329,tblClusters[Cluster],0)),0)</f>
        <v>0</v>
      </c>
      <c r="H329" s="24">
        <f>IFERROR(INDEX(tblClusters[Charge existante RAM hors migration (Go)],MATCH($B329,tblClusters[Cluster],0)),0)</f>
        <v>0</v>
      </c>
      <c r="I329" s="24">
        <f ca="1">SUMIFS(tblApplications[CPU cible ROKS],tblApplications[Cluster ROKS cible (auto)],$B329,tblApplications[Mois de bascule prevu],"&lt;="&amp;EOMONTH($A329,0),tblApplications[Inclus projection O/N],"O")</f>
        <v>0</v>
      </c>
      <c r="J329" s="24">
        <f ca="1">SUMIFS(tblApplications[RAM cible ROKS],tblApplications[Cluster ROKS cible (auto)],$B329,tblApplications[Mois de bascule prevu],"&lt;="&amp;EOMONTH($A329,0),tblApplications[Inclus projection O/N],"O")</f>
        <v>0</v>
      </c>
      <c r="K329" s="25">
        <f t="shared" ca="1" si="30"/>
        <v>0</v>
      </c>
      <c r="L329" s="25">
        <f t="shared" ca="1" si="31"/>
        <v>0</v>
      </c>
      <c r="M329" s="26" t="str">
        <f t="shared" si="32"/>
        <v/>
      </c>
      <c r="N329" s="26" t="str">
        <f t="shared" si="33"/>
        <v/>
      </c>
      <c r="O329" s="22" t="str">
        <f ca="1">IF(E329=0,IF(K329&gt;0,"Cluster sans capacite provisionnee","n/a"),IF(OR(M329&gt;=Clusters_ROKS!$AC$5,N329&gt;=Clusters_ROKS!$AC$5),"Seuil depasse","OK"))</f>
        <v>n/a</v>
      </c>
      <c r="P329" s="25">
        <f t="shared" ca="1" si="34"/>
        <v>0</v>
      </c>
      <c r="Q329" s="25">
        <f t="shared" ca="1" si="35"/>
        <v>0</v>
      </c>
      <c r="R329" s="24">
        <f ca="1">IF(AND(P329=0,Q329=0),0,IFERROR(MAX(ROUNDUP(P329/INDEX(tblClusters[vCPU / noeud (deduit)],MATCH($B329,tblClusters[Cluster],0)),0),ROUNDUP(Q329/INDEX(tblClusters[RAM / noeud - Go (deduit)],MATCH($B329,tblClusters[Cluster],0)),0)),"Flavor a definir"))</f>
        <v>0</v>
      </c>
    </row>
    <row r="330" spans="1:18" x14ac:dyDescent="0.2">
      <c r="A330" s="38">
        <v>46419</v>
      </c>
      <c r="B330" s="21" t="s">
        <v>206</v>
      </c>
      <c r="C330" s="28" t="str">
        <f>IFERROR(INDEX(tblClusters[Utilisation],MATCH($B330,tblClusters[Cluster],0)),"")</f>
        <v>LATAM NO-SEC PROD</v>
      </c>
      <c r="D330" s="28" t="str">
        <f>IFERROR(INDEX(tblClusters[Type (deduit)],MATCH($B330,tblClusters[Cluster],0)),"")</f>
        <v>Dedie</v>
      </c>
      <c r="E330" s="24">
        <f>IFERROR(INDEX(tblClusters[CPU max (cores)],MATCH($B330,tblClusters[Cluster],0)),0)</f>
        <v>0</v>
      </c>
      <c r="F330" s="24">
        <f>IFERROR(INDEX(tblClusters[RAM max (Go)],MATCH($B330,tblClusters[Cluster],0)),0)</f>
        <v>0</v>
      </c>
      <c r="G330" s="24">
        <f>IFERROR(INDEX(tblClusters[Charge existante CPU hors migration],MATCH($B330,tblClusters[Cluster],0)),0)</f>
        <v>0</v>
      </c>
      <c r="H330" s="24">
        <f>IFERROR(INDEX(tblClusters[Charge existante RAM hors migration (Go)],MATCH($B330,tblClusters[Cluster],0)),0)</f>
        <v>0</v>
      </c>
      <c r="I330" s="24">
        <f ca="1">SUMIFS(tblApplications[CPU cible ROKS],tblApplications[Cluster ROKS cible (auto)],$B330,tblApplications[Mois de bascule prevu],"&lt;="&amp;EOMONTH($A330,0),tblApplications[Inclus projection O/N],"O")</f>
        <v>0</v>
      </c>
      <c r="J330" s="24">
        <f ca="1">SUMIFS(tblApplications[RAM cible ROKS],tblApplications[Cluster ROKS cible (auto)],$B330,tblApplications[Mois de bascule prevu],"&lt;="&amp;EOMONTH($A330,0),tblApplications[Inclus projection O/N],"O")</f>
        <v>0</v>
      </c>
      <c r="K330" s="25">
        <f t="shared" ca="1" si="30"/>
        <v>0</v>
      </c>
      <c r="L330" s="25">
        <f t="shared" ca="1" si="31"/>
        <v>0</v>
      </c>
      <c r="M330" s="26" t="str">
        <f t="shared" si="32"/>
        <v/>
      </c>
      <c r="N330" s="26" t="str">
        <f t="shared" si="33"/>
        <v/>
      </c>
      <c r="O330" s="22" t="str">
        <f ca="1">IF(E330=0,IF(K330&gt;0,"Cluster sans capacite provisionnee","n/a"),IF(OR(M330&gt;=Clusters_ROKS!$AC$5,N330&gt;=Clusters_ROKS!$AC$5),"Seuil depasse","OK"))</f>
        <v>n/a</v>
      </c>
      <c r="P330" s="25">
        <f t="shared" ca="1" si="34"/>
        <v>0</v>
      </c>
      <c r="Q330" s="25">
        <f t="shared" ca="1" si="35"/>
        <v>0</v>
      </c>
      <c r="R330" s="24">
        <f ca="1">IF(AND(P330=0,Q330=0),0,IFERROR(MAX(ROUNDUP(P330/INDEX(tblClusters[vCPU / noeud (deduit)],MATCH($B330,tblClusters[Cluster],0)),0),ROUNDUP(Q330/INDEX(tblClusters[RAM / noeud - Go (deduit)],MATCH($B330,tblClusters[Cluster],0)),0)),"Flavor a definir"))</f>
        <v>0</v>
      </c>
    </row>
    <row r="331" spans="1:18" x14ac:dyDescent="0.2">
      <c r="A331" s="38">
        <v>46447</v>
      </c>
      <c r="B331" s="21" t="s">
        <v>206</v>
      </c>
      <c r="C331" s="28" t="str">
        <f>IFERROR(INDEX(tblClusters[Utilisation],MATCH($B331,tblClusters[Cluster],0)),"")</f>
        <v>LATAM NO-SEC PROD</v>
      </c>
      <c r="D331" s="28" t="str">
        <f>IFERROR(INDEX(tblClusters[Type (deduit)],MATCH($B331,tblClusters[Cluster],0)),"")</f>
        <v>Dedie</v>
      </c>
      <c r="E331" s="24">
        <f>IFERROR(INDEX(tblClusters[CPU max (cores)],MATCH($B331,tblClusters[Cluster],0)),0)</f>
        <v>0</v>
      </c>
      <c r="F331" s="24">
        <f>IFERROR(INDEX(tblClusters[RAM max (Go)],MATCH($B331,tblClusters[Cluster],0)),0)</f>
        <v>0</v>
      </c>
      <c r="G331" s="24">
        <f>IFERROR(INDEX(tblClusters[Charge existante CPU hors migration],MATCH($B331,tblClusters[Cluster],0)),0)</f>
        <v>0</v>
      </c>
      <c r="H331" s="24">
        <f>IFERROR(INDEX(tblClusters[Charge existante RAM hors migration (Go)],MATCH($B331,tblClusters[Cluster],0)),0)</f>
        <v>0</v>
      </c>
      <c r="I331" s="24">
        <f ca="1">SUMIFS(tblApplications[CPU cible ROKS],tblApplications[Cluster ROKS cible (auto)],$B331,tblApplications[Mois de bascule prevu],"&lt;="&amp;EOMONTH($A331,0),tblApplications[Inclus projection O/N],"O")</f>
        <v>20</v>
      </c>
      <c r="J331" s="24">
        <f ca="1">SUMIFS(tblApplications[RAM cible ROKS],tblApplications[Cluster ROKS cible (auto)],$B331,tblApplications[Mois de bascule prevu],"&lt;="&amp;EOMONTH($A331,0),tblApplications[Inclus projection O/N],"O")</f>
        <v>78</v>
      </c>
      <c r="K331" s="25">
        <f t="shared" ca="1" si="30"/>
        <v>20</v>
      </c>
      <c r="L331" s="25">
        <f t="shared" ca="1" si="31"/>
        <v>78</v>
      </c>
      <c r="M331" s="26" t="str">
        <f t="shared" si="32"/>
        <v/>
      </c>
      <c r="N331" s="26" t="str">
        <f t="shared" si="33"/>
        <v/>
      </c>
      <c r="O331" s="22" t="str">
        <f ca="1">IF(E331=0,IF(K331&gt;0,"Cluster sans capacite provisionnee","n/a"),IF(OR(M331&gt;=Clusters_ROKS!$AC$5,N331&gt;=Clusters_ROKS!$AC$5),"Seuil depasse","OK"))</f>
        <v>Cluster sans capacite provisionnee</v>
      </c>
      <c r="P331" s="25">
        <f t="shared" ca="1" si="34"/>
        <v>20</v>
      </c>
      <c r="Q331" s="25">
        <f t="shared" ca="1" si="35"/>
        <v>78</v>
      </c>
      <c r="R331" s="24" t="str">
        <f ca="1">IF(AND(P331=0,Q331=0),0,IFERROR(MAX(ROUNDUP(P331/INDEX(tblClusters[vCPU / noeud (deduit)],MATCH($B331,tblClusters[Cluster],0)),0),ROUNDUP(Q331/INDEX(tblClusters[RAM / noeud - Go (deduit)],MATCH($B331,tblClusters[Cluster],0)),0)),"Flavor a definir"))</f>
        <v>Flavor a definir</v>
      </c>
    </row>
    <row r="332" spans="1:18" x14ac:dyDescent="0.2">
      <c r="A332" s="38">
        <v>46478</v>
      </c>
      <c r="B332" s="21" t="s">
        <v>206</v>
      </c>
      <c r="C332" s="28" t="str">
        <f>IFERROR(INDEX(tblClusters[Utilisation],MATCH($B332,tblClusters[Cluster],0)),"")</f>
        <v>LATAM NO-SEC PROD</v>
      </c>
      <c r="D332" s="28" t="str">
        <f>IFERROR(INDEX(tblClusters[Type (deduit)],MATCH($B332,tblClusters[Cluster],0)),"")</f>
        <v>Dedie</v>
      </c>
      <c r="E332" s="24">
        <f>IFERROR(INDEX(tblClusters[CPU max (cores)],MATCH($B332,tblClusters[Cluster],0)),0)</f>
        <v>0</v>
      </c>
      <c r="F332" s="24">
        <f>IFERROR(INDEX(tblClusters[RAM max (Go)],MATCH($B332,tblClusters[Cluster],0)),0)</f>
        <v>0</v>
      </c>
      <c r="G332" s="24">
        <f>IFERROR(INDEX(tblClusters[Charge existante CPU hors migration],MATCH($B332,tblClusters[Cluster],0)),0)</f>
        <v>0</v>
      </c>
      <c r="H332" s="24">
        <f>IFERROR(INDEX(tblClusters[Charge existante RAM hors migration (Go)],MATCH($B332,tblClusters[Cluster],0)),0)</f>
        <v>0</v>
      </c>
      <c r="I332" s="24">
        <f ca="1">SUMIFS(tblApplications[CPU cible ROKS],tblApplications[Cluster ROKS cible (auto)],$B332,tblApplications[Mois de bascule prevu],"&lt;="&amp;EOMONTH($A332,0),tblApplications[Inclus projection O/N],"O")</f>
        <v>20</v>
      </c>
      <c r="J332" s="24">
        <f ca="1">SUMIFS(tblApplications[RAM cible ROKS],tblApplications[Cluster ROKS cible (auto)],$B332,tblApplications[Mois de bascule prevu],"&lt;="&amp;EOMONTH($A332,0),tblApplications[Inclus projection O/N],"O")</f>
        <v>78</v>
      </c>
      <c r="K332" s="25">
        <f t="shared" ca="1" si="30"/>
        <v>20</v>
      </c>
      <c r="L332" s="25">
        <f t="shared" ca="1" si="31"/>
        <v>78</v>
      </c>
      <c r="M332" s="26" t="str">
        <f t="shared" si="32"/>
        <v/>
      </c>
      <c r="N332" s="26" t="str">
        <f t="shared" si="33"/>
        <v/>
      </c>
      <c r="O332" s="22" t="str">
        <f ca="1">IF(E332=0,IF(K332&gt;0,"Cluster sans capacite provisionnee","n/a"),IF(OR(M332&gt;=Clusters_ROKS!$AC$5,N332&gt;=Clusters_ROKS!$AC$5),"Seuil depasse","OK"))</f>
        <v>Cluster sans capacite provisionnee</v>
      </c>
      <c r="P332" s="25">
        <f t="shared" ca="1" si="34"/>
        <v>20</v>
      </c>
      <c r="Q332" s="25">
        <f t="shared" ca="1" si="35"/>
        <v>78</v>
      </c>
      <c r="R332" s="24" t="str">
        <f ca="1">IF(AND(P332=0,Q332=0),0,IFERROR(MAX(ROUNDUP(P332/INDEX(tblClusters[vCPU / noeud (deduit)],MATCH($B332,tblClusters[Cluster],0)),0),ROUNDUP(Q332/INDEX(tblClusters[RAM / noeud - Go (deduit)],MATCH($B332,tblClusters[Cluster],0)),0)),"Flavor a definir"))</f>
        <v>Flavor a definir</v>
      </c>
    </row>
    <row r="333" spans="1:18" x14ac:dyDescent="0.2">
      <c r="A333" s="38">
        <v>46508</v>
      </c>
      <c r="B333" s="21" t="s">
        <v>206</v>
      </c>
      <c r="C333" s="28" t="str">
        <f>IFERROR(INDEX(tblClusters[Utilisation],MATCH($B333,tblClusters[Cluster],0)),"")</f>
        <v>LATAM NO-SEC PROD</v>
      </c>
      <c r="D333" s="28" t="str">
        <f>IFERROR(INDEX(tblClusters[Type (deduit)],MATCH($B333,tblClusters[Cluster],0)),"")</f>
        <v>Dedie</v>
      </c>
      <c r="E333" s="24">
        <f>IFERROR(INDEX(tblClusters[CPU max (cores)],MATCH($B333,tblClusters[Cluster],0)),0)</f>
        <v>0</v>
      </c>
      <c r="F333" s="24">
        <f>IFERROR(INDEX(tblClusters[RAM max (Go)],MATCH($B333,tblClusters[Cluster],0)),0)</f>
        <v>0</v>
      </c>
      <c r="G333" s="24">
        <f>IFERROR(INDEX(tblClusters[Charge existante CPU hors migration],MATCH($B333,tblClusters[Cluster],0)),0)</f>
        <v>0</v>
      </c>
      <c r="H333" s="24">
        <f>IFERROR(INDEX(tblClusters[Charge existante RAM hors migration (Go)],MATCH($B333,tblClusters[Cluster],0)),0)</f>
        <v>0</v>
      </c>
      <c r="I333" s="24">
        <f ca="1">SUMIFS(tblApplications[CPU cible ROKS],tblApplications[Cluster ROKS cible (auto)],$B333,tblApplications[Mois de bascule prevu],"&lt;="&amp;EOMONTH($A333,0),tblApplications[Inclus projection O/N],"O")</f>
        <v>20</v>
      </c>
      <c r="J333" s="24">
        <f ca="1">SUMIFS(tblApplications[RAM cible ROKS],tblApplications[Cluster ROKS cible (auto)],$B333,tblApplications[Mois de bascule prevu],"&lt;="&amp;EOMONTH($A333,0),tblApplications[Inclus projection O/N],"O")</f>
        <v>78</v>
      </c>
      <c r="K333" s="25">
        <f t="shared" ca="1" si="30"/>
        <v>20</v>
      </c>
      <c r="L333" s="25">
        <f t="shared" ca="1" si="31"/>
        <v>78</v>
      </c>
      <c r="M333" s="26" t="str">
        <f t="shared" si="32"/>
        <v/>
      </c>
      <c r="N333" s="26" t="str">
        <f t="shared" si="33"/>
        <v/>
      </c>
      <c r="O333" s="22" t="str">
        <f ca="1">IF(E333=0,IF(K333&gt;0,"Cluster sans capacite provisionnee","n/a"),IF(OR(M333&gt;=Clusters_ROKS!$AC$5,N333&gt;=Clusters_ROKS!$AC$5),"Seuil depasse","OK"))</f>
        <v>Cluster sans capacite provisionnee</v>
      </c>
      <c r="P333" s="25">
        <f t="shared" ca="1" si="34"/>
        <v>20</v>
      </c>
      <c r="Q333" s="25">
        <f t="shared" ca="1" si="35"/>
        <v>78</v>
      </c>
      <c r="R333" s="24" t="str">
        <f ca="1">IF(AND(P333=0,Q333=0),0,IFERROR(MAX(ROUNDUP(P333/INDEX(tblClusters[vCPU / noeud (deduit)],MATCH($B333,tblClusters[Cluster],0)),0),ROUNDUP(Q333/INDEX(tblClusters[RAM / noeud - Go (deduit)],MATCH($B333,tblClusters[Cluster],0)),0)),"Flavor a definir"))</f>
        <v>Flavor a definir</v>
      </c>
    </row>
    <row r="334" spans="1:18" x14ac:dyDescent="0.2">
      <c r="A334" s="38">
        <v>46539</v>
      </c>
      <c r="B334" s="21" t="s">
        <v>206</v>
      </c>
      <c r="C334" s="28" t="str">
        <f>IFERROR(INDEX(tblClusters[Utilisation],MATCH($B334,tblClusters[Cluster],0)),"")</f>
        <v>LATAM NO-SEC PROD</v>
      </c>
      <c r="D334" s="28" t="str">
        <f>IFERROR(INDEX(tblClusters[Type (deduit)],MATCH($B334,tblClusters[Cluster],0)),"")</f>
        <v>Dedie</v>
      </c>
      <c r="E334" s="24">
        <f>IFERROR(INDEX(tblClusters[CPU max (cores)],MATCH($B334,tblClusters[Cluster],0)),0)</f>
        <v>0</v>
      </c>
      <c r="F334" s="24">
        <f>IFERROR(INDEX(tblClusters[RAM max (Go)],MATCH($B334,tblClusters[Cluster],0)),0)</f>
        <v>0</v>
      </c>
      <c r="G334" s="24">
        <f>IFERROR(INDEX(tblClusters[Charge existante CPU hors migration],MATCH($B334,tblClusters[Cluster],0)),0)</f>
        <v>0</v>
      </c>
      <c r="H334" s="24">
        <f>IFERROR(INDEX(tblClusters[Charge existante RAM hors migration (Go)],MATCH($B334,tblClusters[Cluster],0)),0)</f>
        <v>0</v>
      </c>
      <c r="I334" s="24">
        <f ca="1">SUMIFS(tblApplications[CPU cible ROKS],tblApplications[Cluster ROKS cible (auto)],$B334,tblApplications[Mois de bascule prevu],"&lt;="&amp;EOMONTH($A334,0),tblApplications[Inclus projection O/N],"O")</f>
        <v>20</v>
      </c>
      <c r="J334" s="24">
        <f ca="1">SUMIFS(tblApplications[RAM cible ROKS],tblApplications[Cluster ROKS cible (auto)],$B334,tblApplications[Mois de bascule prevu],"&lt;="&amp;EOMONTH($A334,0),tblApplications[Inclus projection O/N],"O")</f>
        <v>78</v>
      </c>
      <c r="K334" s="25">
        <f t="shared" ca="1" si="30"/>
        <v>20</v>
      </c>
      <c r="L334" s="25">
        <f t="shared" ca="1" si="31"/>
        <v>78</v>
      </c>
      <c r="M334" s="26" t="str">
        <f t="shared" si="32"/>
        <v/>
      </c>
      <c r="N334" s="26" t="str">
        <f t="shared" si="33"/>
        <v/>
      </c>
      <c r="O334" s="22" t="str">
        <f ca="1">IF(E334=0,IF(K334&gt;0,"Cluster sans capacite provisionnee","n/a"),IF(OR(M334&gt;=Clusters_ROKS!$AC$5,N334&gt;=Clusters_ROKS!$AC$5),"Seuil depasse","OK"))</f>
        <v>Cluster sans capacite provisionnee</v>
      </c>
      <c r="P334" s="25">
        <f t="shared" ca="1" si="34"/>
        <v>20</v>
      </c>
      <c r="Q334" s="25">
        <f t="shared" ca="1" si="35"/>
        <v>78</v>
      </c>
      <c r="R334" s="24" t="str">
        <f ca="1">IF(AND(P334=0,Q334=0),0,IFERROR(MAX(ROUNDUP(P334/INDEX(tblClusters[vCPU / noeud (deduit)],MATCH($B334,tblClusters[Cluster],0)),0),ROUNDUP(Q334/INDEX(tblClusters[RAM / noeud - Go (deduit)],MATCH($B334,tblClusters[Cluster],0)),0)),"Flavor a definir"))</f>
        <v>Flavor a definir</v>
      </c>
    </row>
    <row r="335" spans="1:18" x14ac:dyDescent="0.2">
      <c r="A335" s="38">
        <v>46569</v>
      </c>
      <c r="B335" s="21" t="s">
        <v>206</v>
      </c>
      <c r="C335" s="28" t="str">
        <f>IFERROR(INDEX(tblClusters[Utilisation],MATCH($B335,tblClusters[Cluster],0)),"")</f>
        <v>LATAM NO-SEC PROD</v>
      </c>
      <c r="D335" s="28" t="str">
        <f>IFERROR(INDEX(tblClusters[Type (deduit)],MATCH($B335,tblClusters[Cluster],0)),"")</f>
        <v>Dedie</v>
      </c>
      <c r="E335" s="24">
        <f>IFERROR(INDEX(tblClusters[CPU max (cores)],MATCH($B335,tblClusters[Cluster],0)),0)</f>
        <v>0</v>
      </c>
      <c r="F335" s="24">
        <f>IFERROR(INDEX(tblClusters[RAM max (Go)],MATCH($B335,tblClusters[Cluster],0)),0)</f>
        <v>0</v>
      </c>
      <c r="G335" s="24">
        <f>IFERROR(INDEX(tblClusters[Charge existante CPU hors migration],MATCH($B335,tblClusters[Cluster],0)),0)</f>
        <v>0</v>
      </c>
      <c r="H335" s="24">
        <f>IFERROR(INDEX(tblClusters[Charge existante RAM hors migration (Go)],MATCH($B335,tblClusters[Cluster],0)),0)</f>
        <v>0</v>
      </c>
      <c r="I335" s="24">
        <f ca="1">SUMIFS(tblApplications[CPU cible ROKS],tblApplications[Cluster ROKS cible (auto)],$B335,tblApplications[Mois de bascule prevu],"&lt;="&amp;EOMONTH($A335,0),tblApplications[Inclus projection O/N],"O")</f>
        <v>20</v>
      </c>
      <c r="J335" s="24">
        <f ca="1">SUMIFS(tblApplications[RAM cible ROKS],tblApplications[Cluster ROKS cible (auto)],$B335,tblApplications[Mois de bascule prevu],"&lt;="&amp;EOMONTH($A335,0),tblApplications[Inclus projection O/N],"O")</f>
        <v>78</v>
      </c>
      <c r="K335" s="25">
        <f t="shared" ca="1" si="30"/>
        <v>20</v>
      </c>
      <c r="L335" s="25">
        <f t="shared" ca="1" si="31"/>
        <v>78</v>
      </c>
      <c r="M335" s="26" t="str">
        <f t="shared" si="32"/>
        <v/>
      </c>
      <c r="N335" s="26" t="str">
        <f t="shared" si="33"/>
        <v/>
      </c>
      <c r="O335" s="22" t="str">
        <f ca="1">IF(E335=0,IF(K335&gt;0,"Cluster sans capacite provisionnee","n/a"),IF(OR(M335&gt;=Clusters_ROKS!$AC$5,N335&gt;=Clusters_ROKS!$AC$5),"Seuil depasse","OK"))</f>
        <v>Cluster sans capacite provisionnee</v>
      </c>
      <c r="P335" s="25">
        <f t="shared" ca="1" si="34"/>
        <v>20</v>
      </c>
      <c r="Q335" s="25">
        <f t="shared" ca="1" si="35"/>
        <v>78</v>
      </c>
      <c r="R335" s="24" t="str">
        <f ca="1">IF(AND(P335=0,Q335=0),0,IFERROR(MAX(ROUNDUP(P335/INDEX(tblClusters[vCPU / noeud (deduit)],MATCH($B335,tblClusters[Cluster],0)),0),ROUNDUP(Q335/INDEX(tblClusters[RAM / noeud - Go (deduit)],MATCH($B335,tblClusters[Cluster],0)),0)),"Flavor a definir"))</f>
        <v>Flavor a definir</v>
      </c>
    </row>
    <row r="336" spans="1:18" x14ac:dyDescent="0.2">
      <c r="A336" s="38">
        <v>46600</v>
      </c>
      <c r="B336" s="21" t="s">
        <v>206</v>
      </c>
      <c r="C336" s="28" t="str">
        <f>IFERROR(INDEX(tblClusters[Utilisation],MATCH($B336,tblClusters[Cluster],0)),"")</f>
        <v>LATAM NO-SEC PROD</v>
      </c>
      <c r="D336" s="28" t="str">
        <f>IFERROR(INDEX(tblClusters[Type (deduit)],MATCH($B336,tblClusters[Cluster],0)),"")</f>
        <v>Dedie</v>
      </c>
      <c r="E336" s="24">
        <f>IFERROR(INDEX(tblClusters[CPU max (cores)],MATCH($B336,tblClusters[Cluster],0)),0)</f>
        <v>0</v>
      </c>
      <c r="F336" s="24">
        <f>IFERROR(INDEX(tblClusters[RAM max (Go)],MATCH($B336,tblClusters[Cluster],0)),0)</f>
        <v>0</v>
      </c>
      <c r="G336" s="24">
        <f>IFERROR(INDEX(tblClusters[Charge existante CPU hors migration],MATCH($B336,tblClusters[Cluster],0)),0)</f>
        <v>0</v>
      </c>
      <c r="H336" s="24">
        <f>IFERROR(INDEX(tblClusters[Charge existante RAM hors migration (Go)],MATCH($B336,tblClusters[Cluster],0)),0)</f>
        <v>0</v>
      </c>
      <c r="I336" s="24">
        <f ca="1">SUMIFS(tblApplications[CPU cible ROKS],tblApplications[Cluster ROKS cible (auto)],$B336,tblApplications[Mois de bascule prevu],"&lt;="&amp;EOMONTH($A336,0),tblApplications[Inclus projection O/N],"O")</f>
        <v>20</v>
      </c>
      <c r="J336" s="24">
        <f ca="1">SUMIFS(tblApplications[RAM cible ROKS],tblApplications[Cluster ROKS cible (auto)],$B336,tblApplications[Mois de bascule prevu],"&lt;="&amp;EOMONTH($A336,0),tblApplications[Inclus projection O/N],"O")</f>
        <v>78</v>
      </c>
      <c r="K336" s="25">
        <f t="shared" ca="1" si="30"/>
        <v>20</v>
      </c>
      <c r="L336" s="25">
        <f t="shared" ca="1" si="31"/>
        <v>78</v>
      </c>
      <c r="M336" s="26" t="str">
        <f t="shared" si="32"/>
        <v/>
      </c>
      <c r="N336" s="26" t="str">
        <f t="shared" si="33"/>
        <v/>
      </c>
      <c r="O336" s="22" t="str">
        <f ca="1">IF(E336=0,IF(K336&gt;0,"Cluster sans capacite provisionnee","n/a"),IF(OR(M336&gt;=Clusters_ROKS!$AC$5,N336&gt;=Clusters_ROKS!$AC$5),"Seuil depasse","OK"))</f>
        <v>Cluster sans capacite provisionnee</v>
      </c>
      <c r="P336" s="25">
        <f t="shared" ca="1" si="34"/>
        <v>20</v>
      </c>
      <c r="Q336" s="25">
        <f t="shared" ca="1" si="35"/>
        <v>78</v>
      </c>
      <c r="R336" s="24" t="str">
        <f ca="1">IF(AND(P336=0,Q336=0),0,IFERROR(MAX(ROUNDUP(P336/INDEX(tblClusters[vCPU / noeud (deduit)],MATCH($B336,tblClusters[Cluster],0)),0),ROUNDUP(Q336/INDEX(tblClusters[RAM / noeud - Go (deduit)],MATCH($B336,tblClusters[Cluster],0)),0)),"Flavor a definir"))</f>
        <v>Flavor a definir</v>
      </c>
    </row>
    <row r="337" spans="1:18" x14ac:dyDescent="0.2">
      <c r="A337" s="38">
        <v>46631</v>
      </c>
      <c r="B337" s="21" t="s">
        <v>206</v>
      </c>
      <c r="C337" s="28" t="str">
        <f>IFERROR(INDEX(tblClusters[Utilisation],MATCH($B337,tblClusters[Cluster],0)),"")</f>
        <v>LATAM NO-SEC PROD</v>
      </c>
      <c r="D337" s="28" t="str">
        <f>IFERROR(INDEX(tblClusters[Type (deduit)],MATCH($B337,tblClusters[Cluster],0)),"")</f>
        <v>Dedie</v>
      </c>
      <c r="E337" s="24">
        <f>IFERROR(INDEX(tblClusters[CPU max (cores)],MATCH($B337,tblClusters[Cluster],0)),0)</f>
        <v>0</v>
      </c>
      <c r="F337" s="24">
        <f>IFERROR(INDEX(tblClusters[RAM max (Go)],MATCH($B337,tblClusters[Cluster],0)),0)</f>
        <v>0</v>
      </c>
      <c r="G337" s="24">
        <f>IFERROR(INDEX(tblClusters[Charge existante CPU hors migration],MATCH($B337,tblClusters[Cluster],0)),0)</f>
        <v>0</v>
      </c>
      <c r="H337" s="24">
        <f>IFERROR(INDEX(tblClusters[Charge existante RAM hors migration (Go)],MATCH($B337,tblClusters[Cluster],0)),0)</f>
        <v>0</v>
      </c>
      <c r="I337" s="24">
        <f ca="1">SUMIFS(tblApplications[CPU cible ROKS],tblApplications[Cluster ROKS cible (auto)],$B337,tblApplications[Mois de bascule prevu],"&lt;="&amp;EOMONTH($A337,0),tblApplications[Inclus projection O/N],"O")</f>
        <v>20</v>
      </c>
      <c r="J337" s="24">
        <f ca="1">SUMIFS(tblApplications[RAM cible ROKS],tblApplications[Cluster ROKS cible (auto)],$B337,tblApplications[Mois de bascule prevu],"&lt;="&amp;EOMONTH($A337,0),tblApplications[Inclus projection O/N],"O")</f>
        <v>78</v>
      </c>
      <c r="K337" s="25">
        <f t="shared" ca="1" si="30"/>
        <v>20</v>
      </c>
      <c r="L337" s="25">
        <f t="shared" ca="1" si="31"/>
        <v>78</v>
      </c>
      <c r="M337" s="26" t="str">
        <f t="shared" si="32"/>
        <v/>
      </c>
      <c r="N337" s="26" t="str">
        <f t="shared" si="33"/>
        <v/>
      </c>
      <c r="O337" s="22" t="str">
        <f ca="1">IF(E337=0,IF(K337&gt;0,"Cluster sans capacite provisionnee","n/a"),IF(OR(M337&gt;=Clusters_ROKS!$AC$5,N337&gt;=Clusters_ROKS!$AC$5),"Seuil depasse","OK"))</f>
        <v>Cluster sans capacite provisionnee</v>
      </c>
      <c r="P337" s="25">
        <f t="shared" ca="1" si="34"/>
        <v>20</v>
      </c>
      <c r="Q337" s="25">
        <f t="shared" ca="1" si="35"/>
        <v>78</v>
      </c>
      <c r="R337" s="24" t="str">
        <f ca="1">IF(AND(P337=0,Q337=0),0,IFERROR(MAX(ROUNDUP(P337/INDEX(tblClusters[vCPU / noeud (deduit)],MATCH($B337,tblClusters[Cluster],0)),0),ROUNDUP(Q337/INDEX(tblClusters[RAM / noeud - Go (deduit)],MATCH($B337,tblClusters[Cluster],0)),0)),"Flavor a definir"))</f>
        <v>Flavor a definir</v>
      </c>
    </row>
    <row r="338" spans="1:18" x14ac:dyDescent="0.2">
      <c r="A338" s="38">
        <v>46661</v>
      </c>
      <c r="B338" s="21" t="s">
        <v>206</v>
      </c>
      <c r="C338" s="28" t="str">
        <f>IFERROR(INDEX(tblClusters[Utilisation],MATCH($B338,tblClusters[Cluster],0)),"")</f>
        <v>LATAM NO-SEC PROD</v>
      </c>
      <c r="D338" s="28" t="str">
        <f>IFERROR(INDEX(tblClusters[Type (deduit)],MATCH($B338,tblClusters[Cluster],0)),"")</f>
        <v>Dedie</v>
      </c>
      <c r="E338" s="24">
        <f>IFERROR(INDEX(tblClusters[CPU max (cores)],MATCH($B338,tblClusters[Cluster],0)),0)</f>
        <v>0</v>
      </c>
      <c r="F338" s="24">
        <f>IFERROR(INDEX(tblClusters[RAM max (Go)],MATCH($B338,tblClusters[Cluster],0)),0)</f>
        <v>0</v>
      </c>
      <c r="G338" s="24">
        <f>IFERROR(INDEX(tblClusters[Charge existante CPU hors migration],MATCH($B338,tblClusters[Cluster],0)),0)</f>
        <v>0</v>
      </c>
      <c r="H338" s="24">
        <f>IFERROR(INDEX(tblClusters[Charge existante RAM hors migration (Go)],MATCH($B338,tblClusters[Cluster],0)),0)</f>
        <v>0</v>
      </c>
      <c r="I338" s="24">
        <f ca="1">SUMIFS(tblApplications[CPU cible ROKS],tblApplications[Cluster ROKS cible (auto)],$B338,tblApplications[Mois de bascule prevu],"&lt;="&amp;EOMONTH($A338,0),tblApplications[Inclus projection O/N],"O")</f>
        <v>20</v>
      </c>
      <c r="J338" s="24">
        <f ca="1">SUMIFS(tblApplications[RAM cible ROKS],tblApplications[Cluster ROKS cible (auto)],$B338,tblApplications[Mois de bascule prevu],"&lt;="&amp;EOMONTH($A338,0),tblApplications[Inclus projection O/N],"O")</f>
        <v>78</v>
      </c>
      <c r="K338" s="25">
        <f t="shared" ca="1" si="30"/>
        <v>20</v>
      </c>
      <c r="L338" s="25">
        <f t="shared" ca="1" si="31"/>
        <v>78</v>
      </c>
      <c r="M338" s="26" t="str">
        <f t="shared" si="32"/>
        <v/>
      </c>
      <c r="N338" s="26" t="str">
        <f t="shared" si="33"/>
        <v/>
      </c>
      <c r="O338" s="22" t="str">
        <f ca="1">IF(E338=0,IF(K338&gt;0,"Cluster sans capacite provisionnee","n/a"),IF(OR(M338&gt;=Clusters_ROKS!$AC$5,N338&gt;=Clusters_ROKS!$AC$5),"Seuil depasse","OK"))</f>
        <v>Cluster sans capacite provisionnee</v>
      </c>
      <c r="P338" s="25">
        <f t="shared" ca="1" si="34"/>
        <v>20</v>
      </c>
      <c r="Q338" s="25">
        <f t="shared" ca="1" si="35"/>
        <v>78</v>
      </c>
      <c r="R338" s="24" t="str">
        <f ca="1">IF(AND(P338=0,Q338=0),0,IFERROR(MAX(ROUNDUP(P338/INDEX(tblClusters[vCPU / noeud (deduit)],MATCH($B338,tblClusters[Cluster],0)),0),ROUNDUP(Q338/INDEX(tblClusters[RAM / noeud - Go (deduit)],MATCH($B338,tblClusters[Cluster],0)),0)),"Flavor a definir"))</f>
        <v>Flavor a definir</v>
      </c>
    </row>
    <row r="339" spans="1:18" x14ac:dyDescent="0.2">
      <c r="A339" s="38">
        <v>46692</v>
      </c>
      <c r="B339" s="21" t="s">
        <v>206</v>
      </c>
      <c r="C339" s="28" t="str">
        <f>IFERROR(INDEX(tblClusters[Utilisation],MATCH($B339,tblClusters[Cluster],0)),"")</f>
        <v>LATAM NO-SEC PROD</v>
      </c>
      <c r="D339" s="28" t="str">
        <f>IFERROR(INDEX(tblClusters[Type (deduit)],MATCH($B339,tblClusters[Cluster],0)),"")</f>
        <v>Dedie</v>
      </c>
      <c r="E339" s="24">
        <f>IFERROR(INDEX(tblClusters[CPU max (cores)],MATCH($B339,tblClusters[Cluster],0)),0)</f>
        <v>0</v>
      </c>
      <c r="F339" s="24">
        <f>IFERROR(INDEX(tblClusters[RAM max (Go)],MATCH($B339,tblClusters[Cluster],0)),0)</f>
        <v>0</v>
      </c>
      <c r="G339" s="24">
        <f>IFERROR(INDEX(tblClusters[Charge existante CPU hors migration],MATCH($B339,tblClusters[Cluster],0)),0)</f>
        <v>0</v>
      </c>
      <c r="H339" s="24">
        <f>IFERROR(INDEX(tblClusters[Charge existante RAM hors migration (Go)],MATCH($B339,tblClusters[Cluster],0)),0)</f>
        <v>0</v>
      </c>
      <c r="I339" s="24">
        <f ca="1">SUMIFS(tblApplications[CPU cible ROKS],tblApplications[Cluster ROKS cible (auto)],$B339,tblApplications[Mois de bascule prevu],"&lt;="&amp;EOMONTH($A339,0),tblApplications[Inclus projection O/N],"O")</f>
        <v>20</v>
      </c>
      <c r="J339" s="24">
        <f ca="1">SUMIFS(tblApplications[RAM cible ROKS],tblApplications[Cluster ROKS cible (auto)],$B339,tblApplications[Mois de bascule prevu],"&lt;="&amp;EOMONTH($A339,0),tblApplications[Inclus projection O/N],"O")</f>
        <v>78</v>
      </c>
      <c r="K339" s="25">
        <f t="shared" ca="1" si="30"/>
        <v>20</v>
      </c>
      <c r="L339" s="25">
        <f t="shared" ca="1" si="31"/>
        <v>78</v>
      </c>
      <c r="M339" s="26" t="str">
        <f t="shared" si="32"/>
        <v/>
      </c>
      <c r="N339" s="26" t="str">
        <f t="shared" si="33"/>
        <v/>
      </c>
      <c r="O339" s="22" t="str">
        <f ca="1">IF(E339=0,IF(K339&gt;0,"Cluster sans capacite provisionnee","n/a"),IF(OR(M339&gt;=Clusters_ROKS!$AC$5,N339&gt;=Clusters_ROKS!$AC$5),"Seuil depasse","OK"))</f>
        <v>Cluster sans capacite provisionnee</v>
      </c>
      <c r="P339" s="25">
        <f t="shared" ca="1" si="34"/>
        <v>20</v>
      </c>
      <c r="Q339" s="25">
        <f t="shared" ca="1" si="35"/>
        <v>78</v>
      </c>
      <c r="R339" s="24" t="str">
        <f ca="1">IF(AND(P339=0,Q339=0),0,IFERROR(MAX(ROUNDUP(P339/INDEX(tblClusters[vCPU / noeud (deduit)],MATCH($B339,tblClusters[Cluster],0)),0),ROUNDUP(Q339/INDEX(tblClusters[RAM / noeud - Go (deduit)],MATCH($B339,tblClusters[Cluster],0)),0)),"Flavor a definir"))</f>
        <v>Flavor a definir</v>
      </c>
    </row>
    <row r="340" spans="1:18" x14ac:dyDescent="0.2">
      <c r="A340" s="38">
        <v>46722</v>
      </c>
      <c r="B340" s="21" t="s">
        <v>206</v>
      </c>
      <c r="C340" s="28" t="str">
        <f>IFERROR(INDEX(tblClusters[Utilisation],MATCH($B340,tblClusters[Cluster],0)),"")</f>
        <v>LATAM NO-SEC PROD</v>
      </c>
      <c r="D340" s="28" t="str">
        <f>IFERROR(INDEX(tblClusters[Type (deduit)],MATCH($B340,tblClusters[Cluster],0)),"")</f>
        <v>Dedie</v>
      </c>
      <c r="E340" s="24">
        <f>IFERROR(INDEX(tblClusters[CPU max (cores)],MATCH($B340,tblClusters[Cluster],0)),0)</f>
        <v>0</v>
      </c>
      <c r="F340" s="24">
        <f>IFERROR(INDEX(tblClusters[RAM max (Go)],MATCH($B340,tblClusters[Cluster],0)),0)</f>
        <v>0</v>
      </c>
      <c r="G340" s="24">
        <f>IFERROR(INDEX(tblClusters[Charge existante CPU hors migration],MATCH($B340,tblClusters[Cluster],0)),0)</f>
        <v>0</v>
      </c>
      <c r="H340" s="24">
        <f>IFERROR(INDEX(tblClusters[Charge existante RAM hors migration (Go)],MATCH($B340,tblClusters[Cluster],0)),0)</f>
        <v>0</v>
      </c>
      <c r="I340" s="24">
        <f ca="1">SUMIFS(tblApplications[CPU cible ROKS],tblApplications[Cluster ROKS cible (auto)],$B340,tblApplications[Mois de bascule prevu],"&lt;="&amp;EOMONTH($A340,0),tblApplications[Inclus projection O/N],"O")</f>
        <v>20</v>
      </c>
      <c r="J340" s="24">
        <f ca="1">SUMIFS(tblApplications[RAM cible ROKS],tblApplications[Cluster ROKS cible (auto)],$B340,tblApplications[Mois de bascule prevu],"&lt;="&amp;EOMONTH($A340,0),tblApplications[Inclus projection O/N],"O")</f>
        <v>78</v>
      </c>
      <c r="K340" s="25">
        <f t="shared" ca="1" si="30"/>
        <v>20</v>
      </c>
      <c r="L340" s="25">
        <f t="shared" ca="1" si="31"/>
        <v>78</v>
      </c>
      <c r="M340" s="26" t="str">
        <f t="shared" si="32"/>
        <v/>
      </c>
      <c r="N340" s="26" t="str">
        <f t="shared" si="33"/>
        <v/>
      </c>
      <c r="O340" s="22" t="str">
        <f ca="1">IF(E340=0,IF(K340&gt;0,"Cluster sans capacite provisionnee","n/a"),IF(OR(M340&gt;=Clusters_ROKS!$AC$5,N340&gt;=Clusters_ROKS!$AC$5),"Seuil depasse","OK"))</f>
        <v>Cluster sans capacite provisionnee</v>
      </c>
      <c r="P340" s="25">
        <f t="shared" ca="1" si="34"/>
        <v>20</v>
      </c>
      <c r="Q340" s="25">
        <f t="shared" ca="1" si="35"/>
        <v>78</v>
      </c>
      <c r="R340" s="24" t="str">
        <f ca="1">IF(AND(P340=0,Q340=0),0,IFERROR(MAX(ROUNDUP(P340/INDEX(tblClusters[vCPU / noeud (deduit)],MATCH($B340,tblClusters[Cluster],0)),0),ROUNDUP(Q340/INDEX(tblClusters[RAM / noeud - Go (deduit)],MATCH($B340,tblClusters[Cluster],0)),0)),"Flavor a definir"))</f>
        <v>Flavor a definir</v>
      </c>
    </row>
    <row r="341" spans="1:18" x14ac:dyDescent="0.2">
      <c r="A341" s="38">
        <v>46388</v>
      </c>
      <c r="B341" s="21" t="s">
        <v>208</v>
      </c>
      <c r="C341" s="28" t="str">
        <f>IFERROR(INDEX(tblClusters[Utilisation],MATCH($B341,tblClusters[Cluster],0)),"")</f>
        <v>Italy Secret Prod</v>
      </c>
      <c r="D341" s="28" t="str">
        <f>IFERROR(INDEX(tblClusters[Type (deduit)],MATCH($B341,tblClusters[Cluster],0)),"")</f>
        <v>Dedie</v>
      </c>
      <c r="E341" s="24">
        <f>IFERROR(INDEX(tblClusters[CPU max (cores)],MATCH($B341,tblClusters[Cluster],0)),0)</f>
        <v>0</v>
      </c>
      <c r="F341" s="24">
        <f>IFERROR(INDEX(tblClusters[RAM max (Go)],MATCH($B341,tblClusters[Cluster],0)),0)</f>
        <v>0</v>
      </c>
      <c r="G341" s="24">
        <f>IFERROR(INDEX(tblClusters[Charge existante CPU hors migration],MATCH($B341,tblClusters[Cluster],0)),0)</f>
        <v>0</v>
      </c>
      <c r="H341" s="24">
        <f>IFERROR(INDEX(tblClusters[Charge existante RAM hors migration (Go)],MATCH($B341,tblClusters[Cluster],0)),0)</f>
        <v>0</v>
      </c>
      <c r="I341" s="24">
        <f ca="1">SUMIFS(tblApplications[CPU cible ROKS],tblApplications[Cluster ROKS cible (auto)],$B341,tblApplications[Mois de bascule prevu],"&lt;="&amp;EOMONTH($A341,0),tblApplications[Inclus projection O/N],"O")</f>
        <v>0</v>
      </c>
      <c r="J341" s="24">
        <f ca="1">SUMIFS(tblApplications[RAM cible ROKS],tblApplications[Cluster ROKS cible (auto)],$B341,tblApplications[Mois de bascule prevu],"&lt;="&amp;EOMONTH($A341,0),tblApplications[Inclus projection O/N],"O")</f>
        <v>0</v>
      </c>
      <c r="K341" s="25">
        <f t="shared" ca="1" si="30"/>
        <v>0</v>
      </c>
      <c r="L341" s="25">
        <f t="shared" ca="1" si="31"/>
        <v>0</v>
      </c>
      <c r="M341" s="26" t="str">
        <f t="shared" si="32"/>
        <v/>
      </c>
      <c r="N341" s="26" t="str">
        <f t="shared" si="33"/>
        <v/>
      </c>
      <c r="O341" s="22" t="str">
        <f ca="1">IF(E341=0,IF(K341&gt;0,"Cluster sans capacite provisionnee","n/a"),IF(OR(M341&gt;=Clusters_ROKS!$AC$5,N341&gt;=Clusters_ROKS!$AC$5),"Seuil depasse","OK"))</f>
        <v>n/a</v>
      </c>
      <c r="P341" s="25">
        <f t="shared" ca="1" si="34"/>
        <v>0</v>
      </c>
      <c r="Q341" s="25">
        <f t="shared" ca="1" si="35"/>
        <v>0</v>
      </c>
      <c r="R341" s="24">
        <f ca="1">IF(AND(P341=0,Q341=0),0,IFERROR(MAX(ROUNDUP(P341/INDEX(tblClusters[vCPU / noeud (deduit)],MATCH($B341,tblClusters[Cluster],0)),0),ROUNDUP(Q341/INDEX(tblClusters[RAM / noeud - Go (deduit)],MATCH($B341,tblClusters[Cluster],0)),0)),"Flavor a definir"))</f>
        <v>0</v>
      </c>
    </row>
    <row r="342" spans="1:18" x14ac:dyDescent="0.2">
      <c r="A342" s="38">
        <v>46419</v>
      </c>
      <c r="B342" s="21" t="s">
        <v>208</v>
      </c>
      <c r="C342" s="28" t="str">
        <f>IFERROR(INDEX(tblClusters[Utilisation],MATCH($B342,tblClusters[Cluster],0)),"")</f>
        <v>Italy Secret Prod</v>
      </c>
      <c r="D342" s="28" t="str">
        <f>IFERROR(INDEX(tblClusters[Type (deduit)],MATCH($B342,tblClusters[Cluster],0)),"")</f>
        <v>Dedie</v>
      </c>
      <c r="E342" s="24">
        <f>IFERROR(INDEX(tblClusters[CPU max (cores)],MATCH($B342,tblClusters[Cluster],0)),0)</f>
        <v>0</v>
      </c>
      <c r="F342" s="24">
        <f>IFERROR(INDEX(tblClusters[RAM max (Go)],MATCH($B342,tblClusters[Cluster],0)),0)</f>
        <v>0</v>
      </c>
      <c r="G342" s="24">
        <f>IFERROR(INDEX(tblClusters[Charge existante CPU hors migration],MATCH($B342,tblClusters[Cluster],0)),0)</f>
        <v>0</v>
      </c>
      <c r="H342" s="24">
        <f>IFERROR(INDEX(tblClusters[Charge existante RAM hors migration (Go)],MATCH($B342,tblClusters[Cluster],0)),0)</f>
        <v>0</v>
      </c>
      <c r="I342" s="24">
        <f ca="1">SUMIFS(tblApplications[CPU cible ROKS],tblApplications[Cluster ROKS cible (auto)],$B342,tblApplications[Mois de bascule prevu],"&lt;="&amp;EOMONTH($A342,0),tblApplications[Inclus projection O/N],"O")</f>
        <v>0</v>
      </c>
      <c r="J342" s="24">
        <f ca="1">SUMIFS(tblApplications[RAM cible ROKS],tblApplications[Cluster ROKS cible (auto)],$B342,tblApplications[Mois de bascule prevu],"&lt;="&amp;EOMONTH($A342,0),tblApplications[Inclus projection O/N],"O")</f>
        <v>0</v>
      </c>
      <c r="K342" s="25">
        <f t="shared" ca="1" si="30"/>
        <v>0</v>
      </c>
      <c r="L342" s="25">
        <f t="shared" ca="1" si="31"/>
        <v>0</v>
      </c>
      <c r="M342" s="26" t="str">
        <f t="shared" si="32"/>
        <v/>
      </c>
      <c r="N342" s="26" t="str">
        <f t="shared" si="33"/>
        <v/>
      </c>
      <c r="O342" s="22" t="str">
        <f ca="1">IF(E342=0,IF(K342&gt;0,"Cluster sans capacite provisionnee","n/a"),IF(OR(M342&gt;=Clusters_ROKS!$AC$5,N342&gt;=Clusters_ROKS!$AC$5),"Seuil depasse","OK"))</f>
        <v>n/a</v>
      </c>
      <c r="P342" s="25">
        <f t="shared" ca="1" si="34"/>
        <v>0</v>
      </c>
      <c r="Q342" s="25">
        <f t="shared" ca="1" si="35"/>
        <v>0</v>
      </c>
      <c r="R342" s="24">
        <f ca="1">IF(AND(P342=0,Q342=0),0,IFERROR(MAX(ROUNDUP(P342/INDEX(tblClusters[vCPU / noeud (deduit)],MATCH($B342,tblClusters[Cluster],0)),0),ROUNDUP(Q342/INDEX(tblClusters[RAM / noeud - Go (deduit)],MATCH($B342,tblClusters[Cluster],0)),0)),"Flavor a definir"))</f>
        <v>0</v>
      </c>
    </row>
    <row r="343" spans="1:18" x14ac:dyDescent="0.2">
      <c r="A343" s="38">
        <v>46447</v>
      </c>
      <c r="B343" s="21" t="s">
        <v>208</v>
      </c>
      <c r="C343" s="28" t="str">
        <f>IFERROR(INDEX(tblClusters[Utilisation],MATCH($B343,tblClusters[Cluster],0)),"")</f>
        <v>Italy Secret Prod</v>
      </c>
      <c r="D343" s="28" t="str">
        <f>IFERROR(INDEX(tblClusters[Type (deduit)],MATCH($B343,tblClusters[Cluster],0)),"")</f>
        <v>Dedie</v>
      </c>
      <c r="E343" s="24">
        <f>IFERROR(INDEX(tblClusters[CPU max (cores)],MATCH($B343,tblClusters[Cluster],0)),0)</f>
        <v>0</v>
      </c>
      <c r="F343" s="24">
        <f>IFERROR(INDEX(tblClusters[RAM max (Go)],MATCH($B343,tblClusters[Cluster],0)),0)</f>
        <v>0</v>
      </c>
      <c r="G343" s="24">
        <f>IFERROR(INDEX(tblClusters[Charge existante CPU hors migration],MATCH($B343,tblClusters[Cluster],0)),0)</f>
        <v>0</v>
      </c>
      <c r="H343" s="24">
        <f>IFERROR(INDEX(tblClusters[Charge existante RAM hors migration (Go)],MATCH($B343,tblClusters[Cluster],0)),0)</f>
        <v>0</v>
      </c>
      <c r="I343" s="24">
        <f ca="1">SUMIFS(tblApplications[CPU cible ROKS],tblApplications[Cluster ROKS cible (auto)],$B343,tblApplications[Mois de bascule prevu],"&lt;="&amp;EOMONTH($A343,0),tblApplications[Inclus projection O/N],"O")</f>
        <v>0</v>
      </c>
      <c r="J343" s="24">
        <f ca="1">SUMIFS(tblApplications[RAM cible ROKS],tblApplications[Cluster ROKS cible (auto)],$B343,tblApplications[Mois de bascule prevu],"&lt;="&amp;EOMONTH($A343,0),tblApplications[Inclus projection O/N],"O")</f>
        <v>0</v>
      </c>
      <c r="K343" s="25">
        <f t="shared" ca="1" si="30"/>
        <v>0</v>
      </c>
      <c r="L343" s="25">
        <f t="shared" ca="1" si="31"/>
        <v>0</v>
      </c>
      <c r="M343" s="26" t="str">
        <f t="shared" si="32"/>
        <v/>
      </c>
      <c r="N343" s="26" t="str">
        <f t="shared" si="33"/>
        <v/>
      </c>
      <c r="O343" s="22" t="str">
        <f ca="1">IF(E343=0,IF(K343&gt;0,"Cluster sans capacite provisionnee","n/a"),IF(OR(M343&gt;=Clusters_ROKS!$AC$5,N343&gt;=Clusters_ROKS!$AC$5),"Seuil depasse","OK"))</f>
        <v>n/a</v>
      </c>
      <c r="P343" s="25">
        <f t="shared" ca="1" si="34"/>
        <v>0</v>
      </c>
      <c r="Q343" s="25">
        <f t="shared" ca="1" si="35"/>
        <v>0</v>
      </c>
      <c r="R343" s="24">
        <f ca="1">IF(AND(P343=0,Q343=0),0,IFERROR(MAX(ROUNDUP(P343/INDEX(tblClusters[vCPU / noeud (deduit)],MATCH($B343,tblClusters[Cluster],0)),0),ROUNDUP(Q343/INDEX(tblClusters[RAM / noeud - Go (deduit)],MATCH($B343,tblClusters[Cluster],0)),0)),"Flavor a definir"))</f>
        <v>0</v>
      </c>
    </row>
    <row r="344" spans="1:18" x14ac:dyDescent="0.2">
      <c r="A344" s="38">
        <v>46478</v>
      </c>
      <c r="B344" s="21" t="s">
        <v>208</v>
      </c>
      <c r="C344" s="28" t="str">
        <f>IFERROR(INDEX(tblClusters[Utilisation],MATCH($B344,tblClusters[Cluster],0)),"")</f>
        <v>Italy Secret Prod</v>
      </c>
      <c r="D344" s="28" t="str">
        <f>IFERROR(INDEX(tblClusters[Type (deduit)],MATCH($B344,tblClusters[Cluster],0)),"")</f>
        <v>Dedie</v>
      </c>
      <c r="E344" s="24">
        <f>IFERROR(INDEX(tblClusters[CPU max (cores)],MATCH($B344,tblClusters[Cluster],0)),0)</f>
        <v>0</v>
      </c>
      <c r="F344" s="24">
        <f>IFERROR(INDEX(tblClusters[RAM max (Go)],MATCH($B344,tblClusters[Cluster],0)),0)</f>
        <v>0</v>
      </c>
      <c r="G344" s="24">
        <f>IFERROR(INDEX(tblClusters[Charge existante CPU hors migration],MATCH($B344,tblClusters[Cluster],0)),0)</f>
        <v>0</v>
      </c>
      <c r="H344" s="24">
        <f>IFERROR(INDEX(tblClusters[Charge existante RAM hors migration (Go)],MATCH($B344,tblClusters[Cluster],0)),0)</f>
        <v>0</v>
      </c>
      <c r="I344" s="24">
        <f ca="1">SUMIFS(tblApplications[CPU cible ROKS],tblApplications[Cluster ROKS cible (auto)],$B344,tblApplications[Mois de bascule prevu],"&lt;="&amp;EOMONTH($A344,0),tblApplications[Inclus projection O/N],"O")</f>
        <v>0</v>
      </c>
      <c r="J344" s="24">
        <f ca="1">SUMIFS(tblApplications[RAM cible ROKS],tblApplications[Cluster ROKS cible (auto)],$B344,tblApplications[Mois de bascule prevu],"&lt;="&amp;EOMONTH($A344,0),tblApplications[Inclus projection O/N],"O")</f>
        <v>0</v>
      </c>
      <c r="K344" s="25">
        <f t="shared" ca="1" si="30"/>
        <v>0</v>
      </c>
      <c r="L344" s="25">
        <f t="shared" ca="1" si="31"/>
        <v>0</v>
      </c>
      <c r="M344" s="26" t="str">
        <f t="shared" si="32"/>
        <v/>
      </c>
      <c r="N344" s="26" t="str">
        <f t="shared" si="33"/>
        <v/>
      </c>
      <c r="O344" s="22" t="str">
        <f ca="1">IF(E344=0,IF(K344&gt;0,"Cluster sans capacite provisionnee","n/a"),IF(OR(M344&gt;=Clusters_ROKS!$AC$5,N344&gt;=Clusters_ROKS!$AC$5),"Seuil depasse","OK"))</f>
        <v>n/a</v>
      </c>
      <c r="P344" s="25">
        <f t="shared" ca="1" si="34"/>
        <v>0</v>
      </c>
      <c r="Q344" s="25">
        <f t="shared" ca="1" si="35"/>
        <v>0</v>
      </c>
      <c r="R344" s="24">
        <f ca="1">IF(AND(P344=0,Q344=0),0,IFERROR(MAX(ROUNDUP(P344/INDEX(tblClusters[vCPU / noeud (deduit)],MATCH($B344,tblClusters[Cluster],0)),0),ROUNDUP(Q344/INDEX(tblClusters[RAM / noeud - Go (deduit)],MATCH($B344,tblClusters[Cluster],0)),0)),"Flavor a definir"))</f>
        <v>0</v>
      </c>
    </row>
    <row r="345" spans="1:18" x14ac:dyDescent="0.2">
      <c r="A345" s="38">
        <v>46508</v>
      </c>
      <c r="B345" s="21" t="s">
        <v>208</v>
      </c>
      <c r="C345" s="28" t="str">
        <f>IFERROR(INDEX(tblClusters[Utilisation],MATCH($B345,tblClusters[Cluster],0)),"")</f>
        <v>Italy Secret Prod</v>
      </c>
      <c r="D345" s="28" t="str">
        <f>IFERROR(INDEX(tblClusters[Type (deduit)],MATCH($B345,tblClusters[Cluster],0)),"")</f>
        <v>Dedie</v>
      </c>
      <c r="E345" s="24">
        <f>IFERROR(INDEX(tblClusters[CPU max (cores)],MATCH($B345,tblClusters[Cluster],0)),0)</f>
        <v>0</v>
      </c>
      <c r="F345" s="24">
        <f>IFERROR(INDEX(tblClusters[RAM max (Go)],MATCH($B345,tblClusters[Cluster],0)),0)</f>
        <v>0</v>
      </c>
      <c r="G345" s="24">
        <f>IFERROR(INDEX(tblClusters[Charge existante CPU hors migration],MATCH($B345,tblClusters[Cluster],0)),0)</f>
        <v>0</v>
      </c>
      <c r="H345" s="24">
        <f>IFERROR(INDEX(tblClusters[Charge existante RAM hors migration (Go)],MATCH($B345,tblClusters[Cluster],0)),0)</f>
        <v>0</v>
      </c>
      <c r="I345" s="24">
        <f ca="1">SUMIFS(tblApplications[CPU cible ROKS],tblApplications[Cluster ROKS cible (auto)],$B345,tblApplications[Mois de bascule prevu],"&lt;="&amp;EOMONTH($A345,0),tblApplications[Inclus projection O/N],"O")</f>
        <v>0</v>
      </c>
      <c r="J345" s="24">
        <f ca="1">SUMIFS(tblApplications[RAM cible ROKS],tblApplications[Cluster ROKS cible (auto)],$B345,tblApplications[Mois de bascule prevu],"&lt;="&amp;EOMONTH($A345,0),tblApplications[Inclus projection O/N],"O")</f>
        <v>0</v>
      </c>
      <c r="K345" s="25">
        <f t="shared" ca="1" si="30"/>
        <v>0</v>
      </c>
      <c r="L345" s="25">
        <f t="shared" ca="1" si="31"/>
        <v>0</v>
      </c>
      <c r="M345" s="26" t="str">
        <f t="shared" si="32"/>
        <v/>
      </c>
      <c r="N345" s="26" t="str">
        <f t="shared" si="33"/>
        <v/>
      </c>
      <c r="O345" s="22" t="str">
        <f ca="1">IF(E345=0,IF(K345&gt;0,"Cluster sans capacite provisionnee","n/a"),IF(OR(M345&gt;=Clusters_ROKS!$AC$5,N345&gt;=Clusters_ROKS!$AC$5),"Seuil depasse","OK"))</f>
        <v>n/a</v>
      </c>
      <c r="P345" s="25">
        <f t="shared" ca="1" si="34"/>
        <v>0</v>
      </c>
      <c r="Q345" s="25">
        <f t="shared" ca="1" si="35"/>
        <v>0</v>
      </c>
      <c r="R345" s="24">
        <f ca="1">IF(AND(P345=0,Q345=0),0,IFERROR(MAX(ROUNDUP(P345/INDEX(tblClusters[vCPU / noeud (deduit)],MATCH($B345,tblClusters[Cluster],0)),0),ROUNDUP(Q345/INDEX(tblClusters[RAM / noeud - Go (deduit)],MATCH($B345,tblClusters[Cluster],0)),0)),"Flavor a definir"))</f>
        <v>0</v>
      </c>
    </row>
    <row r="346" spans="1:18" x14ac:dyDescent="0.2">
      <c r="A346" s="38">
        <v>46539</v>
      </c>
      <c r="B346" s="21" t="s">
        <v>208</v>
      </c>
      <c r="C346" s="28" t="str">
        <f>IFERROR(INDEX(tblClusters[Utilisation],MATCH($B346,tblClusters[Cluster],0)),"")</f>
        <v>Italy Secret Prod</v>
      </c>
      <c r="D346" s="28" t="str">
        <f>IFERROR(INDEX(tblClusters[Type (deduit)],MATCH($B346,tblClusters[Cluster],0)),"")</f>
        <v>Dedie</v>
      </c>
      <c r="E346" s="24">
        <f>IFERROR(INDEX(tblClusters[CPU max (cores)],MATCH($B346,tblClusters[Cluster],0)),0)</f>
        <v>0</v>
      </c>
      <c r="F346" s="24">
        <f>IFERROR(INDEX(tblClusters[RAM max (Go)],MATCH($B346,tblClusters[Cluster],0)),0)</f>
        <v>0</v>
      </c>
      <c r="G346" s="24">
        <f>IFERROR(INDEX(tblClusters[Charge existante CPU hors migration],MATCH($B346,tblClusters[Cluster],0)),0)</f>
        <v>0</v>
      </c>
      <c r="H346" s="24">
        <f>IFERROR(INDEX(tblClusters[Charge existante RAM hors migration (Go)],MATCH($B346,tblClusters[Cluster],0)),0)</f>
        <v>0</v>
      </c>
      <c r="I346" s="24">
        <f ca="1">SUMIFS(tblApplications[CPU cible ROKS],tblApplications[Cluster ROKS cible (auto)],$B346,tblApplications[Mois de bascule prevu],"&lt;="&amp;EOMONTH($A346,0),tblApplications[Inclus projection O/N],"O")</f>
        <v>0</v>
      </c>
      <c r="J346" s="24">
        <f ca="1">SUMIFS(tblApplications[RAM cible ROKS],tblApplications[Cluster ROKS cible (auto)],$B346,tblApplications[Mois de bascule prevu],"&lt;="&amp;EOMONTH($A346,0),tblApplications[Inclus projection O/N],"O")</f>
        <v>0</v>
      </c>
      <c r="K346" s="25">
        <f t="shared" ca="1" si="30"/>
        <v>0</v>
      </c>
      <c r="L346" s="25">
        <f t="shared" ca="1" si="31"/>
        <v>0</v>
      </c>
      <c r="M346" s="26" t="str">
        <f t="shared" si="32"/>
        <v/>
      </c>
      <c r="N346" s="26" t="str">
        <f t="shared" si="33"/>
        <v/>
      </c>
      <c r="O346" s="22" t="str">
        <f ca="1">IF(E346=0,IF(K346&gt;0,"Cluster sans capacite provisionnee","n/a"),IF(OR(M346&gt;=Clusters_ROKS!$AC$5,N346&gt;=Clusters_ROKS!$AC$5),"Seuil depasse","OK"))</f>
        <v>n/a</v>
      </c>
      <c r="P346" s="25">
        <f t="shared" ca="1" si="34"/>
        <v>0</v>
      </c>
      <c r="Q346" s="25">
        <f t="shared" ca="1" si="35"/>
        <v>0</v>
      </c>
      <c r="R346" s="24">
        <f ca="1">IF(AND(P346=0,Q346=0),0,IFERROR(MAX(ROUNDUP(P346/INDEX(tblClusters[vCPU / noeud (deduit)],MATCH($B346,tblClusters[Cluster],0)),0),ROUNDUP(Q346/INDEX(tblClusters[RAM / noeud - Go (deduit)],MATCH($B346,tblClusters[Cluster],0)),0)),"Flavor a definir"))</f>
        <v>0</v>
      </c>
    </row>
    <row r="347" spans="1:18" x14ac:dyDescent="0.2">
      <c r="A347" s="38">
        <v>46569</v>
      </c>
      <c r="B347" s="21" t="s">
        <v>208</v>
      </c>
      <c r="C347" s="28" t="str">
        <f>IFERROR(INDEX(tblClusters[Utilisation],MATCH($B347,tblClusters[Cluster],0)),"")</f>
        <v>Italy Secret Prod</v>
      </c>
      <c r="D347" s="28" t="str">
        <f>IFERROR(INDEX(tblClusters[Type (deduit)],MATCH($B347,tblClusters[Cluster],0)),"")</f>
        <v>Dedie</v>
      </c>
      <c r="E347" s="24">
        <f>IFERROR(INDEX(tblClusters[CPU max (cores)],MATCH($B347,tblClusters[Cluster],0)),0)</f>
        <v>0</v>
      </c>
      <c r="F347" s="24">
        <f>IFERROR(INDEX(tblClusters[RAM max (Go)],MATCH($B347,tblClusters[Cluster],0)),0)</f>
        <v>0</v>
      </c>
      <c r="G347" s="24">
        <f>IFERROR(INDEX(tblClusters[Charge existante CPU hors migration],MATCH($B347,tblClusters[Cluster],0)),0)</f>
        <v>0</v>
      </c>
      <c r="H347" s="24">
        <f>IFERROR(INDEX(tblClusters[Charge existante RAM hors migration (Go)],MATCH($B347,tblClusters[Cluster],0)),0)</f>
        <v>0</v>
      </c>
      <c r="I347" s="24">
        <f ca="1">SUMIFS(tblApplications[CPU cible ROKS],tblApplications[Cluster ROKS cible (auto)],$B347,tblApplications[Mois de bascule prevu],"&lt;="&amp;EOMONTH($A347,0),tblApplications[Inclus projection O/N],"O")</f>
        <v>0</v>
      </c>
      <c r="J347" s="24">
        <f ca="1">SUMIFS(tblApplications[RAM cible ROKS],tblApplications[Cluster ROKS cible (auto)],$B347,tblApplications[Mois de bascule prevu],"&lt;="&amp;EOMONTH($A347,0),tblApplications[Inclus projection O/N],"O")</f>
        <v>0</v>
      </c>
      <c r="K347" s="25">
        <f t="shared" ca="1" si="30"/>
        <v>0</v>
      </c>
      <c r="L347" s="25">
        <f t="shared" ca="1" si="31"/>
        <v>0</v>
      </c>
      <c r="M347" s="26" t="str">
        <f t="shared" si="32"/>
        <v/>
      </c>
      <c r="N347" s="26" t="str">
        <f t="shared" si="33"/>
        <v/>
      </c>
      <c r="O347" s="22" t="str">
        <f ca="1">IF(E347=0,IF(K347&gt;0,"Cluster sans capacite provisionnee","n/a"),IF(OR(M347&gt;=Clusters_ROKS!$AC$5,N347&gt;=Clusters_ROKS!$AC$5),"Seuil depasse","OK"))</f>
        <v>n/a</v>
      </c>
      <c r="P347" s="25">
        <f t="shared" ca="1" si="34"/>
        <v>0</v>
      </c>
      <c r="Q347" s="25">
        <f t="shared" ca="1" si="35"/>
        <v>0</v>
      </c>
      <c r="R347" s="24">
        <f ca="1">IF(AND(P347=0,Q347=0),0,IFERROR(MAX(ROUNDUP(P347/INDEX(tblClusters[vCPU / noeud (deduit)],MATCH($B347,tblClusters[Cluster],0)),0),ROUNDUP(Q347/INDEX(tblClusters[RAM / noeud - Go (deduit)],MATCH($B347,tblClusters[Cluster],0)),0)),"Flavor a definir"))</f>
        <v>0</v>
      </c>
    </row>
    <row r="348" spans="1:18" x14ac:dyDescent="0.2">
      <c r="A348" s="38">
        <v>46600</v>
      </c>
      <c r="B348" s="21" t="s">
        <v>208</v>
      </c>
      <c r="C348" s="28" t="str">
        <f>IFERROR(INDEX(tblClusters[Utilisation],MATCH($B348,tblClusters[Cluster],0)),"")</f>
        <v>Italy Secret Prod</v>
      </c>
      <c r="D348" s="28" t="str">
        <f>IFERROR(INDEX(tblClusters[Type (deduit)],MATCH($B348,tblClusters[Cluster],0)),"")</f>
        <v>Dedie</v>
      </c>
      <c r="E348" s="24">
        <f>IFERROR(INDEX(tblClusters[CPU max (cores)],MATCH($B348,tblClusters[Cluster],0)),0)</f>
        <v>0</v>
      </c>
      <c r="F348" s="24">
        <f>IFERROR(INDEX(tblClusters[RAM max (Go)],MATCH($B348,tblClusters[Cluster],0)),0)</f>
        <v>0</v>
      </c>
      <c r="G348" s="24">
        <f>IFERROR(INDEX(tblClusters[Charge existante CPU hors migration],MATCH($B348,tblClusters[Cluster],0)),0)</f>
        <v>0</v>
      </c>
      <c r="H348" s="24">
        <f>IFERROR(INDEX(tblClusters[Charge existante RAM hors migration (Go)],MATCH($B348,tblClusters[Cluster],0)),0)</f>
        <v>0</v>
      </c>
      <c r="I348" s="24">
        <f ca="1">SUMIFS(tblApplications[CPU cible ROKS],tblApplications[Cluster ROKS cible (auto)],$B348,tblApplications[Mois de bascule prevu],"&lt;="&amp;EOMONTH($A348,0),tblApplications[Inclus projection O/N],"O")</f>
        <v>0</v>
      </c>
      <c r="J348" s="24">
        <f ca="1">SUMIFS(tblApplications[RAM cible ROKS],tblApplications[Cluster ROKS cible (auto)],$B348,tblApplications[Mois de bascule prevu],"&lt;="&amp;EOMONTH($A348,0),tblApplications[Inclus projection O/N],"O")</f>
        <v>0</v>
      </c>
      <c r="K348" s="25">
        <f t="shared" ca="1" si="30"/>
        <v>0</v>
      </c>
      <c r="L348" s="25">
        <f t="shared" ca="1" si="31"/>
        <v>0</v>
      </c>
      <c r="M348" s="26" t="str">
        <f t="shared" si="32"/>
        <v/>
      </c>
      <c r="N348" s="26" t="str">
        <f t="shared" si="33"/>
        <v/>
      </c>
      <c r="O348" s="22" t="str">
        <f ca="1">IF(E348=0,IF(K348&gt;0,"Cluster sans capacite provisionnee","n/a"),IF(OR(M348&gt;=Clusters_ROKS!$AC$5,N348&gt;=Clusters_ROKS!$AC$5),"Seuil depasse","OK"))</f>
        <v>n/a</v>
      </c>
      <c r="P348" s="25">
        <f t="shared" ca="1" si="34"/>
        <v>0</v>
      </c>
      <c r="Q348" s="25">
        <f t="shared" ca="1" si="35"/>
        <v>0</v>
      </c>
      <c r="R348" s="24">
        <f ca="1">IF(AND(P348=0,Q348=0),0,IFERROR(MAX(ROUNDUP(P348/INDEX(tblClusters[vCPU / noeud (deduit)],MATCH($B348,tblClusters[Cluster],0)),0),ROUNDUP(Q348/INDEX(tblClusters[RAM / noeud - Go (deduit)],MATCH($B348,tblClusters[Cluster],0)),0)),"Flavor a definir"))</f>
        <v>0</v>
      </c>
    </row>
    <row r="349" spans="1:18" x14ac:dyDescent="0.2">
      <c r="A349" s="38">
        <v>46631</v>
      </c>
      <c r="B349" s="21" t="s">
        <v>208</v>
      </c>
      <c r="C349" s="28" t="str">
        <f>IFERROR(INDEX(tblClusters[Utilisation],MATCH($B349,tblClusters[Cluster],0)),"")</f>
        <v>Italy Secret Prod</v>
      </c>
      <c r="D349" s="28" t="str">
        <f>IFERROR(INDEX(tblClusters[Type (deduit)],MATCH($B349,tblClusters[Cluster],0)),"")</f>
        <v>Dedie</v>
      </c>
      <c r="E349" s="24">
        <f>IFERROR(INDEX(tblClusters[CPU max (cores)],MATCH($B349,tblClusters[Cluster],0)),0)</f>
        <v>0</v>
      </c>
      <c r="F349" s="24">
        <f>IFERROR(INDEX(tblClusters[RAM max (Go)],MATCH($B349,tblClusters[Cluster],0)),0)</f>
        <v>0</v>
      </c>
      <c r="G349" s="24">
        <f>IFERROR(INDEX(tblClusters[Charge existante CPU hors migration],MATCH($B349,tblClusters[Cluster],0)),0)</f>
        <v>0</v>
      </c>
      <c r="H349" s="24">
        <f>IFERROR(INDEX(tblClusters[Charge existante RAM hors migration (Go)],MATCH($B349,tblClusters[Cluster],0)),0)</f>
        <v>0</v>
      </c>
      <c r="I349" s="24">
        <f ca="1">SUMIFS(tblApplications[CPU cible ROKS],tblApplications[Cluster ROKS cible (auto)],$B349,tblApplications[Mois de bascule prevu],"&lt;="&amp;EOMONTH($A349,0),tblApplications[Inclus projection O/N],"O")</f>
        <v>0</v>
      </c>
      <c r="J349" s="24">
        <f ca="1">SUMIFS(tblApplications[RAM cible ROKS],tblApplications[Cluster ROKS cible (auto)],$B349,tblApplications[Mois de bascule prevu],"&lt;="&amp;EOMONTH($A349,0),tblApplications[Inclus projection O/N],"O")</f>
        <v>0</v>
      </c>
      <c r="K349" s="25">
        <f t="shared" ca="1" si="30"/>
        <v>0</v>
      </c>
      <c r="L349" s="25">
        <f t="shared" ca="1" si="31"/>
        <v>0</v>
      </c>
      <c r="M349" s="26" t="str">
        <f t="shared" si="32"/>
        <v/>
      </c>
      <c r="N349" s="26" t="str">
        <f t="shared" si="33"/>
        <v/>
      </c>
      <c r="O349" s="22" t="str">
        <f ca="1">IF(E349=0,IF(K349&gt;0,"Cluster sans capacite provisionnee","n/a"),IF(OR(M349&gt;=Clusters_ROKS!$AC$5,N349&gt;=Clusters_ROKS!$AC$5),"Seuil depasse","OK"))</f>
        <v>n/a</v>
      </c>
      <c r="P349" s="25">
        <f t="shared" ca="1" si="34"/>
        <v>0</v>
      </c>
      <c r="Q349" s="25">
        <f t="shared" ca="1" si="35"/>
        <v>0</v>
      </c>
      <c r="R349" s="24">
        <f ca="1">IF(AND(P349=0,Q349=0),0,IFERROR(MAX(ROUNDUP(P349/INDEX(tblClusters[vCPU / noeud (deduit)],MATCH($B349,tblClusters[Cluster],0)),0),ROUNDUP(Q349/INDEX(tblClusters[RAM / noeud - Go (deduit)],MATCH($B349,tblClusters[Cluster],0)),0)),"Flavor a definir"))</f>
        <v>0</v>
      </c>
    </row>
    <row r="350" spans="1:18" x14ac:dyDescent="0.2">
      <c r="A350" s="38">
        <v>46661</v>
      </c>
      <c r="B350" s="21" t="s">
        <v>208</v>
      </c>
      <c r="C350" s="28" t="str">
        <f>IFERROR(INDEX(tblClusters[Utilisation],MATCH($B350,tblClusters[Cluster],0)),"")</f>
        <v>Italy Secret Prod</v>
      </c>
      <c r="D350" s="28" t="str">
        <f>IFERROR(INDEX(tblClusters[Type (deduit)],MATCH($B350,tblClusters[Cluster],0)),"")</f>
        <v>Dedie</v>
      </c>
      <c r="E350" s="24">
        <f>IFERROR(INDEX(tblClusters[CPU max (cores)],MATCH($B350,tblClusters[Cluster],0)),0)</f>
        <v>0</v>
      </c>
      <c r="F350" s="24">
        <f>IFERROR(INDEX(tblClusters[RAM max (Go)],MATCH($B350,tblClusters[Cluster],0)),0)</f>
        <v>0</v>
      </c>
      <c r="G350" s="24">
        <f>IFERROR(INDEX(tblClusters[Charge existante CPU hors migration],MATCH($B350,tblClusters[Cluster],0)),0)</f>
        <v>0</v>
      </c>
      <c r="H350" s="24">
        <f>IFERROR(INDEX(tblClusters[Charge existante RAM hors migration (Go)],MATCH($B350,tblClusters[Cluster],0)),0)</f>
        <v>0</v>
      </c>
      <c r="I350" s="24">
        <f ca="1">SUMIFS(tblApplications[CPU cible ROKS],tblApplications[Cluster ROKS cible (auto)],$B350,tblApplications[Mois de bascule prevu],"&lt;="&amp;EOMONTH($A350,0),tblApplications[Inclus projection O/N],"O")</f>
        <v>0</v>
      </c>
      <c r="J350" s="24">
        <f ca="1">SUMIFS(tblApplications[RAM cible ROKS],tblApplications[Cluster ROKS cible (auto)],$B350,tblApplications[Mois de bascule prevu],"&lt;="&amp;EOMONTH($A350,0),tblApplications[Inclus projection O/N],"O")</f>
        <v>0</v>
      </c>
      <c r="K350" s="25">
        <f t="shared" ca="1" si="30"/>
        <v>0</v>
      </c>
      <c r="L350" s="25">
        <f t="shared" ca="1" si="31"/>
        <v>0</v>
      </c>
      <c r="M350" s="26" t="str">
        <f t="shared" si="32"/>
        <v/>
      </c>
      <c r="N350" s="26" t="str">
        <f t="shared" si="33"/>
        <v/>
      </c>
      <c r="O350" s="22" t="str">
        <f ca="1">IF(E350=0,IF(K350&gt;0,"Cluster sans capacite provisionnee","n/a"),IF(OR(M350&gt;=Clusters_ROKS!$AC$5,N350&gt;=Clusters_ROKS!$AC$5),"Seuil depasse","OK"))</f>
        <v>n/a</v>
      </c>
      <c r="P350" s="25">
        <f t="shared" ca="1" si="34"/>
        <v>0</v>
      </c>
      <c r="Q350" s="25">
        <f t="shared" ca="1" si="35"/>
        <v>0</v>
      </c>
      <c r="R350" s="24">
        <f ca="1">IF(AND(P350=0,Q350=0),0,IFERROR(MAX(ROUNDUP(P350/INDEX(tblClusters[vCPU / noeud (deduit)],MATCH($B350,tblClusters[Cluster],0)),0),ROUNDUP(Q350/INDEX(tblClusters[RAM / noeud - Go (deduit)],MATCH($B350,tblClusters[Cluster],0)),0)),"Flavor a definir"))</f>
        <v>0</v>
      </c>
    </row>
    <row r="351" spans="1:18" x14ac:dyDescent="0.2">
      <c r="A351" s="38">
        <v>46692</v>
      </c>
      <c r="B351" s="21" t="s">
        <v>208</v>
      </c>
      <c r="C351" s="28" t="str">
        <f>IFERROR(INDEX(tblClusters[Utilisation],MATCH($B351,tblClusters[Cluster],0)),"")</f>
        <v>Italy Secret Prod</v>
      </c>
      <c r="D351" s="28" t="str">
        <f>IFERROR(INDEX(tblClusters[Type (deduit)],MATCH($B351,tblClusters[Cluster],0)),"")</f>
        <v>Dedie</v>
      </c>
      <c r="E351" s="24">
        <f>IFERROR(INDEX(tblClusters[CPU max (cores)],MATCH($B351,tblClusters[Cluster],0)),0)</f>
        <v>0</v>
      </c>
      <c r="F351" s="24">
        <f>IFERROR(INDEX(tblClusters[RAM max (Go)],MATCH($B351,tblClusters[Cluster],0)),0)</f>
        <v>0</v>
      </c>
      <c r="G351" s="24">
        <f>IFERROR(INDEX(tblClusters[Charge existante CPU hors migration],MATCH($B351,tblClusters[Cluster],0)),0)</f>
        <v>0</v>
      </c>
      <c r="H351" s="24">
        <f>IFERROR(INDEX(tblClusters[Charge existante RAM hors migration (Go)],MATCH($B351,tblClusters[Cluster],0)),0)</f>
        <v>0</v>
      </c>
      <c r="I351" s="24">
        <f ca="1">SUMIFS(tblApplications[CPU cible ROKS],tblApplications[Cluster ROKS cible (auto)],$B351,tblApplications[Mois de bascule prevu],"&lt;="&amp;EOMONTH($A351,0),tblApplications[Inclus projection O/N],"O")</f>
        <v>0</v>
      </c>
      <c r="J351" s="24">
        <f ca="1">SUMIFS(tblApplications[RAM cible ROKS],tblApplications[Cluster ROKS cible (auto)],$B351,tblApplications[Mois de bascule prevu],"&lt;="&amp;EOMONTH($A351,0),tblApplications[Inclus projection O/N],"O")</f>
        <v>0</v>
      </c>
      <c r="K351" s="25">
        <f t="shared" ca="1" si="30"/>
        <v>0</v>
      </c>
      <c r="L351" s="25">
        <f t="shared" ca="1" si="31"/>
        <v>0</v>
      </c>
      <c r="M351" s="26" t="str">
        <f t="shared" si="32"/>
        <v/>
      </c>
      <c r="N351" s="26" t="str">
        <f t="shared" si="33"/>
        <v/>
      </c>
      <c r="O351" s="22" t="str">
        <f ca="1">IF(E351=0,IF(K351&gt;0,"Cluster sans capacite provisionnee","n/a"),IF(OR(M351&gt;=Clusters_ROKS!$AC$5,N351&gt;=Clusters_ROKS!$AC$5),"Seuil depasse","OK"))</f>
        <v>n/a</v>
      </c>
      <c r="P351" s="25">
        <f t="shared" ca="1" si="34"/>
        <v>0</v>
      </c>
      <c r="Q351" s="25">
        <f t="shared" ca="1" si="35"/>
        <v>0</v>
      </c>
      <c r="R351" s="24">
        <f ca="1">IF(AND(P351=0,Q351=0),0,IFERROR(MAX(ROUNDUP(P351/INDEX(tblClusters[vCPU / noeud (deduit)],MATCH($B351,tblClusters[Cluster],0)),0),ROUNDUP(Q351/INDEX(tblClusters[RAM / noeud - Go (deduit)],MATCH($B351,tblClusters[Cluster],0)),0)),"Flavor a definir"))</f>
        <v>0</v>
      </c>
    </row>
    <row r="352" spans="1:18" x14ac:dyDescent="0.2">
      <c r="A352" s="38">
        <v>46722</v>
      </c>
      <c r="B352" s="21" t="s">
        <v>208</v>
      </c>
      <c r="C352" s="28" t="str">
        <f>IFERROR(INDEX(tblClusters[Utilisation],MATCH($B352,tblClusters[Cluster],0)),"")</f>
        <v>Italy Secret Prod</v>
      </c>
      <c r="D352" s="28" t="str">
        <f>IFERROR(INDEX(tblClusters[Type (deduit)],MATCH($B352,tblClusters[Cluster],0)),"")</f>
        <v>Dedie</v>
      </c>
      <c r="E352" s="24">
        <f>IFERROR(INDEX(tblClusters[CPU max (cores)],MATCH($B352,tblClusters[Cluster],0)),0)</f>
        <v>0</v>
      </c>
      <c r="F352" s="24">
        <f>IFERROR(INDEX(tblClusters[RAM max (Go)],MATCH($B352,tblClusters[Cluster],0)),0)</f>
        <v>0</v>
      </c>
      <c r="G352" s="24">
        <f>IFERROR(INDEX(tblClusters[Charge existante CPU hors migration],MATCH($B352,tblClusters[Cluster],0)),0)</f>
        <v>0</v>
      </c>
      <c r="H352" s="24">
        <f>IFERROR(INDEX(tblClusters[Charge existante RAM hors migration (Go)],MATCH($B352,tblClusters[Cluster],0)),0)</f>
        <v>0</v>
      </c>
      <c r="I352" s="24">
        <f ca="1">SUMIFS(tblApplications[CPU cible ROKS],tblApplications[Cluster ROKS cible (auto)],$B352,tblApplications[Mois de bascule prevu],"&lt;="&amp;EOMONTH($A352,0),tblApplications[Inclus projection O/N],"O")</f>
        <v>0</v>
      </c>
      <c r="J352" s="24">
        <f ca="1">SUMIFS(tblApplications[RAM cible ROKS],tblApplications[Cluster ROKS cible (auto)],$B352,tblApplications[Mois de bascule prevu],"&lt;="&amp;EOMONTH($A352,0),tblApplications[Inclus projection O/N],"O")</f>
        <v>0</v>
      </c>
      <c r="K352" s="25">
        <f t="shared" ca="1" si="30"/>
        <v>0</v>
      </c>
      <c r="L352" s="25">
        <f t="shared" ca="1" si="31"/>
        <v>0</v>
      </c>
      <c r="M352" s="26" t="str">
        <f t="shared" si="32"/>
        <v/>
      </c>
      <c r="N352" s="26" t="str">
        <f t="shared" si="33"/>
        <v/>
      </c>
      <c r="O352" s="22" t="str">
        <f ca="1">IF(E352=0,IF(K352&gt;0,"Cluster sans capacite provisionnee","n/a"),IF(OR(M352&gt;=Clusters_ROKS!$AC$5,N352&gt;=Clusters_ROKS!$AC$5),"Seuil depasse","OK"))</f>
        <v>n/a</v>
      </c>
      <c r="P352" s="25">
        <f t="shared" ca="1" si="34"/>
        <v>0</v>
      </c>
      <c r="Q352" s="25">
        <f t="shared" ca="1" si="35"/>
        <v>0</v>
      </c>
      <c r="R352" s="24">
        <f ca="1">IF(AND(P352=0,Q352=0),0,IFERROR(MAX(ROUNDUP(P352/INDEX(tblClusters[vCPU / noeud (deduit)],MATCH($B352,tblClusters[Cluster],0)),0),ROUNDUP(Q352/INDEX(tblClusters[RAM / noeud - Go (deduit)],MATCH($B352,tblClusters[Cluster],0)),0)),"Flavor a definir"))</f>
        <v>0</v>
      </c>
    </row>
    <row r="353" spans="1:18" x14ac:dyDescent="0.2">
      <c r="A353" s="38">
        <v>46388</v>
      </c>
      <c r="B353" s="21" t="s">
        <v>210</v>
      </c>
      <c r="C353" s="28" t="str">
        <f>IFERROR(INDEX(tblClusters[Utilisation],MATCH($B353,tblClusters[Cluster],0)),"")</f>
        <v>Italy HORS-PROD</v>
      </c>
      <c r="D353" s="28" t="str">
        <f>IFERROR(INDEX(tblClusters[Type (deduit)],MATCH($B353,tblClusters[Cluster],0)),"")</f>
        <v>Dedie</v>
      </c>
      <c r="E353" s="24">
        <f>IFERROR(INDEX(tblClusters[CPU max (cores)],MATCH($B353,tblClusters[Cluster],0)),0)</f>
        <v>0</v>
      </c>
      <c r="F353" s="24">
        <f>IFERROR(INDEX(tblClusters[RAM max (Go)],MATCH($B353,tblClusters[Cluster],0)),0)</f>
        <v>0</v>
      </c>
      <c r="G353" s="24">
        <f>IFERROR(INDEX(tblClusters[Charge existante CPU hors migration],MATCH($B353,tblClusters[Cluster],0)),0)</f>
        <v>0</v>
      </c>
      <c r="H353" s="24">
        <f>IFERROR(INDEX(tblClusters[Charge existante RAM hors migration (Go)],MATCH($B353,tblClusters[Cluster],0)),0)</f>
        <v>0</v>
      </c>
      <c r="I353" s="24">
        <f ca="1">SUMIFS(tblApplications[CPU cible ROKS],tblApplications[Cluster ROKS cible (auto)],$B353,tblApplications[Mois de bascule prevu],"&lt;="&amp;EOMONTH($A353,0),tblApplications[Inclus projection O/N],"O")</f>
        <v>0</v>
      </c>
      <c r="J353" s="24">
        <f ca="1">SUMIFS(tblApplications[RAM cible ROKS],tblApplications[Cluster ROKS cible (auto)],$B353,tblApplications[Mois de bascule prevu],"&lt;="&amp;EOMONTH($A353,0),tblApplications[Inclus projection O/N],"O")</f>
        <v>0</v>
      </c>
      <c r="K353" s="25">
        <f t="shared" ca="1" si="30"/>
        <v>0</v>
      </c>
      <c r="L353" s="25">
        <f t="shared" ca="1" si="31"/>
        <v>0</v>
      </c>
      <c r="M353" s="26" t="str">
        <f t="shared" si="32"/>
        <v/>
      </c>
      <c r="N353" s="26" t="str">
        <f t="shared" si="33"/>
        <v/>
      </c>
      <c r="O353" s="22" t="str">
        <f ca="1">IF(E353=0,IF(K353&gt;0,"Cluster sans capacite provisionnee","n/a"),IF(OR(M353&gt;=Clusters_ROKS!$AC$5,N353&gt;=Clusters_ROKS!$AC$5),"Seuil depasse","OK"))</f>
        <v>n/a</v>
      </c>
      <c r="P353" s="25">
        <f t="shared" ca="1" si="34"/>
        <v>0</v>
      </c>
      <c r="Q353" s="25">
        <f t="shared" ca="1" si="35"/>
        <v>0</v>
      </c>
      <c r="R353" s="24">
        <f ca="1">IF(AND(P353=0,Q353=0),0,IFERROR(MAX(ROUNDUP(P353/INDEX(tblClusters[vCPU / noeud (deduit)],MATCH($B353,tblClusters[Cluster],0)),0),ROUNDUP(Q353/INDEX(tblClusters[RAM / noeud - Go (deduit)],MATCH($B353,tblClusters[Cluster],0)),0)),"Flavor a definir"))</f>
        <v>0</v>
      </c>
    </row>
    <row r="354" spans="1:18" x14ac:dyDescent="0.2">
      <c r="A354" s="38">
        <v>46419</v>
      </c>
      <c r="B354" s="21" t="s">
        <v>210</v>
      </c>
      <c r="C354" s="28" t="str">
        <f>IFERROR(INDEX(tblClusters[Utilisation],MATCH($B354,tblClusters[Cluster],0)),"")</f>
        <v>Italy HORS-PROD</v>
      </c>
      <c r="D354" s="28" t="str">
        <f>IFERROR(INDEX(tblClusters[Type (deduit)],MATCH($B354,tblClusters[Cluster],0)),"")</f>
        <v>Dedie</v>
      </c>
      <c r="E354" s="24">
        <f>IFERROR(INDEX(tblClusters[CPU max (cores)],MATCH($B354,tblClusters[Cluster],0)),0)</f>
        <v>0</v>
      </c>
      <c r="F354" s="24">
        <f>IFERROR(INDEX(tblClusters[RAM max (Go)],MATCH($B354,tblClusters[Cluster],0)),0)</f>
        <v>0</v>
      </c>
      <c r="G354" s="24">
        <f>IFERROR(INDEX(tblClusters[Charge existante CPU hors migration],MATCH($B354,tblClusters[Cluster],0)),0)</f>
        <v>0</v>
      </c>
      <c r="H354" s="24">
        <f>IFERROR(INDEX(tblClusters[Charge existante RAM hors migration (Go)],MATCH($B354,tblClusters[Cluster],0)),0)</f>
        <v>0</v>
      </c>
      <c r="I354" s="24">
        <f ca="1">SUMIFS(tblApplications[CPU cible ROKS],tblApplications[Cluster ROKS cible (auto)],$B354,tblApplications[Mois de bascule prevu],"&lt;="&amp;EOMONTH($A354,0),tblApplications[Inclus projection O/N],"O")</f>
        <v>0</v>
      </c>
      <c r="J354" s="24">
        <f ca="1">SUMIFS(tblApplications[RAM cible ROKS],tblApplications[Cluster ROKS cible (auto)],$B354,tblApplications[Mois de bascule prevu],"&lt;="&amp;EOMONTH($A354,0),tblApplications[Inclus projection O/N],"O")</f>
        <v>0</v>
      </c>
      <c r="K354" s="25">
        <f t="shared" ca="1" si="30"/>
        <v>0</v>
      </c>
      <c r="L354" s="25">
        <f t="shared" ca="1" si="31"/>
        <v>0</v>
      </c>
      <c r="M354" s="26" t="str">
        <f t="shared" si="32"/>
        <v/>
      </c>
      <c r="N354" s="26" t="str">
        <f t="shared" si="33"/>
        <v/>
      </c>
      <c r="O354" s="22" t="str">
        <f ca="1">IF(E354=0,IF(K354&gt;0,"Cluster sans capacite provisionnee","n/a"),IF(OR(M354&gt;=Clusters_ROKS!$AC$5,N354&gt;=Clusters_ROKS!$AC$5),"Seuil depasse","OK"))</f>
        <v>n/a</v>
      </c>
      <c r="P354" s="25">
        <f t="shared" ca="1" si="34"/>
        <v>0</v>
      </c>
      <c r="Q354" s="25">
        <f t="shared" ca="1" si="35"/>
        <v>0</v>
      </c>
      <c r="R354" s="24">
        <f ca="1">IF(AND(P354=0,Q354=0),0,IFERROR(MAX(ROUNDUP(P354/INDEX(tblClusters[vCPU / noeud (deduit)],MATCH($B354,tblClusters[Cluster],0)),0),ROUNDUP(Q354/INDEX(tblClusters[RAM / noeud - Go (deduit)],MATCH($B354,tblClusters[Cluster],0)),0)),"Flavor a definir"))</f>
        <v>0</v>
      </c>
    </row>
    <row r="355" spans="1:18" x14ac:dyDescent="0.2">
      <c r="A355" s="38">
        <v>46447</v>
      </c>
      <c r="B355" s="21" t="s">
        <v>210</v>
      </c>
      <c r="C355" s="28" t="str">
        <f>IFERROR(INDEX(tblClusters[Utilisation],MATCH($B355,tblClusters[Cluster],0)),"")</f>
        <v>Italy HORS-PROD</v>
      </c>
      <c r="D355" s="28" t="str">
        <f>IFERROR(INDEX(tblClusters[Type (deduit)],MATCH($B355,tblClusters[Cluster],0)),"")</f>
        <v>Dedie</v>
      </c>
      <c r="E355" s="24">
        <f>IFERROR(INDEX(tblClusters[CPU max (cores)],MATCH($B355,tblClusters[Cluster],0)),0)</f>
        <v>0</v>
      </c>
      <c r="F355" s="24">
        <f>IFERROR(INDEX(tblClusters[RAM max (Go)],MATCH($B355,tblClusters[Cluster],0)),0)</f>
        <v>0</v>
      </c>
      <c r="G355" s="24">
        <f>IFERROR(INDEX(tblClusters[Charge existante CPU hors migration],MATCH($B355,tblClusters[Cluster],0)),0)</f>
        <v>0</v>
      </c>
      <c r="H355" s="24">
        <f>IFERROR(INDEX(tblClusters[Charge existante RAM hors migration (Go)],MATCH($B355,tblClusters[Cluster],0)),0)</f>
        <v>0</v>
      </c>
      <c r="I355" s="24">
        <f ca="1">SUMIFS(tblApplications[CPU cible ROKS],tblApplications[Cluster ROKS cible (auto)],$B355,tblApplications[Mois de bascule prevu],"&lt;="&amp;EOMONTH($A355,0),tblApplications[Inclus projection O/N],"O")</f>
        <v>0</v>
      </c>
      <c r="J355" s="24">
        <f ca="1">SUMIFS(tblApplications[RAM cible ROKS],tblApplications[Cluster ROKS cible (auto)],$B355,tblApplications[Mois de bascule prevu],"&lt;="&amp;EOMONTH($A355,0),tblApplications[Inclus projection O/N],"O")</f>
        <v>0</v>
      </c>
      <c r="K355" s="25">
        <f t="shared" ca="1" si="30"/>
        <v>0</v>
      </c>
      <c r="L355" s="25">
        <f t="shared" ca="1" si="31"/>
        <v>0</v>
      </c>
      <c r="M355" s="26" t="str">
        <f t="shared" si="32"/>
        <v/>
      </c>
      <c r="N355" s="26" t="str">
        <f t="shared" si="33"/>
        <v/>
      </c>
      <c r="O355" s="22" t="str">
        <f ca="1">IF(E355=0,IF(K355&gt;0,"Cluster sans capacite provisionnee","n/a"),IF(OR(M355&gt;=Clusters_ROKS!$AC$5,N355&gt;=Clusters_ROKS!$AC$5),"Seuil depasse","OK"))</f>
        <v>n/a</v>
      </c>
      <c r="P355" s="25">
        <f t="shared" ca="1" si="34"/>
        <v>0</v>
      </c>
      <c r="Q355" s="25">
        <f t="shared" ca="1" si="35"/>
        <v>0</v>
      </c>
      <c r="R355" s="24">
        <f ca="1">IF(AND(P355=0,Q355=0),0,IFERROR(MAX(ROUNDUP(P355/INDEX(tblClusters[vCPU / noeud (deduit)],MATCH($B355,tblClusters[Cluster],0)),0),ROUNDUP(Q355/INDEX(tblClusters[RAM / noeud - Go (deduit)],MATCH($B355,tblClusters[Cluster],0)),0)),"Flavor a definir"))</f>
        <v>0</v>
      </c>
    </row>
    <row r="356" spans="1:18" x14ac:dyDescent="0.2">
      <c r="A356" s="38">
        <v>46478</v>
      </c>
      <c r="B356" s="21" t="s">
        <v>210</v>
      </c>
      <c r="C356" s="28" t="str">
        <f>IFERROR(INDEX(tblClusters[Utilisation],MATCH($B356,tblClusters[Cluster],0)),"")</f>
        <v>Italy HORS-PROD</v>
      </c>
      <c r="D356" s="28" t="str">
        <f>IFERROR(INDEX(tblClusters[Type (deduit)],MATCH($B356,tblClusters[Cluster],0)),"")</f>
        <v>Dedie</v>
      </c>
      <c r="E356" s="24">
        <f>IFERROR(INDEX(tblClusters[CPU max (cores)],MATCH($B356,tblClusters[Cluster],0)),0)</f>
        <v>0</v>
      </c>
      <c r="F356" s="24">
        <f>IFERROR(INDEX(tblClusters[RAM max (Go)],MATCH($B356,tblClusters[Cluster],0)),0)</f>
        <v>0</v>
      </c>
      <c r="G356" s="24">
        <f>IFERROR(INDEX(tblClusters[Charge existante CPU hors migration],MATCH($B356,tblClusters[Cluster],0)),0)</f>
        <v>0</v>
      </c>
      <c r="H356" s="24">
        <f>IFERROR(INDEX(tblClusters[Charge existante RAM hors migration (Go)],MATCH($B356,tblClusters[Cluster],0)),0)</f>
        <v>0</v>
      </c>
      <c r="I356" s="24">
        <f ca="1">SUMIFS(tblApplications[CPU cible ROKS],tblApplications[Cluster ROKS cible (auto)],$B356,tblApplications[Mois de bascule prevu],"&lt;="&amp;EOMONTH($A356,0),tblApplications[Inclus projection O/N],"O")</f>
        <v>0</v>
      </c>
      <c r="J356" s="24">
        <f ca="1">SUMIFS(tblApplications[RAM cible ROKS],tblApplications[Cluster ROKS cible (auto)],$B356,tblApplications[Mois de bascule prevu],"&lt;="&amp;EOMONTH($A356,0),tblApplications[Inclus projection O/N],"O")</f>
        <v>0</v>
      </c>
      <c r="K356" s="25">
        <f t="shared" ca="1" si="30"/>
        <v>0</v>
      </c>
      <c r="L356" s="25">
        <f t="shared" ca="1" si="31"/>
        <v>0</v>
      </c>
      <c r="M356" s="26" t="str">
        <f t="shared" si="32"/>
        <v/>
      </c>
      <c r="N356" s="26" t="str">
        <f t="shared" si="33"/>
        <v/>
      </c>
      <c r="O356" s="22" t="str">
        <f ca="1">IF(E356=0,IF(K356&gt;0,"Cluster sans capacite provisionnee","n/a"),IF(OR(M356&gt;=Clusters_ROKS!$AC$5,N356&gt;=Clusters_ROKS!$AC$5),"Seuil depasse","OK"))</f>
        <v>n/a</v>
      </c>
      <c r="P356" s="25">
        <f t="shared" ca="1" si="34"/>
        <v>0</v>
      </c>
      <c r="Q356" s="25">
        <f t="shared" ca="1" si="35"/>
        <v>0</v>
      </c>
      <c r="R356" s="24">
        <f ca="1">IF(AND(P356=0,Q356=0),0,IFERROR(MAX(ROUNDUP(P356/INDEX(tblClusters[vCPU / noeud (deduit)],MATCH($B356,tblClusters[Cluster],0)),0),ROUNDUP(Q356/INDEX(tblClusters[RAM / noeud - Go (deduit)],MATCH($B356,tblClusters[Cluster],0)),0)),"Flavor a definir"))</f>
        <v>0</v>
      </c>
    </row>
    <row r="357" spans="1:18" x14ac:dyDescent="0.2">
      <c r="A357" s="38">
        <v>46508</v>
      </c>
      <c r="B357" s="21" t="s">
        <v>210</v>
      </c>
      <c r="C357" s="28" t="str">
        <f>IFERROR(INDEX(tblClusters[Utilisation],MATCH($B357,tblClusters[Cluster],0)),"")</f>
        <v>Italy HORS-PROD</v>
      </c>
      <c r="D357" s="28" t="str">
        <f>IFERROR(INDEX(tblClusters[Type (deduit)],MATCH($B357,tblClusters[Cluster],0)),"")</f>
        <v>Dedie</v>
      </c>
      <c r="E357" s="24">
        <f>IFERROR(INDEX(tblClusters[CPU max (cores)],MATCH($B357,tblClusters[Cluster],0)),0)</f>
        <v>0</v>
      </c>
      <c r="F357" s="24">
        <f>IFERROR(INDEX(tblClusters[RAM max (Go)],MATCH($B357,tblClusters[Cluster],0)),0)</f>
        <v>0</v>
      </c>
      <c r="G357" s="24">
        <f>IFERROR(INDEX(tblClusters[Charge existante CPU hors migration],MATCH($B357,tblClusters[Cluster],0)),0)</f>
        <v>0</v>
      </c>
      <c r="H357" s="24">
        <f>IFERROR(INDEX(tblClusters[Charge existante RAM hors migration (Go)],MATCH($B357,tblClusters[Cluster],0)),0)</f>
        <v>0</v>
      </c>
      <c r="I357" s="24">
        <f ca="1">SUMIFS(tblApplications[CPU cible ROKS],tblApplications[Cluster ROKS cible (auto)],$B357,tblApplications[Mois de bascule prevu],"&lt;="&amp;EOMONTH($A357,0),tblApplications[Inclus projection O/N],"O")</f>
        <v>0</v>
      </c>
      <c r="J357" s="24">
        <f ca="1">SUMIFS(tblApplications[RAM cible ROKS],tblApplications[Cluster ROKS cible (auto)],$B357,tblApplications[Mois de bascule prevu],"&lt;="&amp;EOMONTH($A357,0),tblApplications[Inclus projection O/N],"O")</f>
        <v>0</v>
      </c>
      <c r="K357" s="25">
        <f t="shared" ca="1" si="30"/>
        <v>0</v>
      </c>
      <c r="L357" s="25">
        <f t="shared" ca="1" si="31"/>
        <v>0</v>
      </c>
      <c r="M357" s="26" t="str">
        <f t="shared" si="32"/>
        <v/>
      </c>
      <c r="N357" s="26" t="str">
        <f t="shared" si="33"/>
        <v/>
      </c>
      <c r="O357" s="22" t="str">
        <f ca="1">IF(E357=0,IF(K357&gt;0,"Cluster sans capacite provisionnee","n/a"),IF(OR(M357&gt;=Clusters_ROKS!$AC$5,N357&gt;=Clusters_ROKS!$AC$5),"Seuil depasse","OK"))</f>
        <v>n/a</v>
      </c>
      <c r="P357" s="25">
        <f t="shared" ca="1" si="34"/>
        <v>0</v>
      </c>
      <c r="Q357" s="25">
        <f t="shared" ca="1" si="35"/>
        <v>0</v>
      </c>
      <c r="R357" s="24">
        <f ca="1">IF(AND(P357=0,Q357=0),0,IFERROR(MAX(ROUNDUP(P357/INDEX(tblClusters[vCPU / noeud (deduit)],MATCH($B357,tblClusters[Cluster],0)),0),ROUNDUP(Q357/INDEX(tblClusters[RAM / noeud - Go (deduit)],MATCH($B357,tblClusters[Cluster],0)),0)),"Flavor a definir"))</f>
        <v>0</v>
      </c>
    </row>
    <row r="358" spans="1:18" x14ac:dyDescent="0.2">
      <c r="A358" s="38">
        <v>46539</v>
      </c>
      <c r="B358" s="21" t="s">
        <v>210</v>
      </c>
      <c r="C358" s="28" t="str">
        <f>IFERROR(INDEX(tblClusters[Utilisation],MATCH($B358,tblClusters[Cluster],0)),"")</f>
        <v>Italy HORS-PROD</v>
      </c>
      <c r="D358" s="28" t="str">
        <f>IFERROR(INDEX(tblClusters[Type (deduit)],MATCH($B358,tblClusters[Cluster],0)),"")</f>
        <v>Dedie</v>
      </c>
      <c r="E358" s="24">
        <f>IFERROR(INDEX(tblClusters[CPU max (cores)],MATCH($B358,tblClusters[Cluster],0)),0)</f>
        <v>0</v>
      </c>
      <c r="F358" s="24">
        <f>IFERROR(INDEX(tblClusters[RAM max (Go)],MATCH($B358,tblClusters[Cluster],0)),0)</f>
        <v>0</v>
      </c>
      <c r="G358" s="24">
        <f>IFERROR(INDEX(tblClusters[Charge existante CPU hors migration],MATCH($B358,tblClusters[Cluster],0)),0)</f>
        <v>0</v>
      </c>
      <c r="H358" s="24">
        <f>IFERROR(INDEX(tblClusters[Charge existante RAM hors migration (Go)],MATCH($B358,tblClusters[Cluster],0)),0)</f>
        <v>0</v>
      </c>
      <c r="I358" s="24">
        <f ca="1">SUMIFS(tblApplications[CPU cible ROKS],tblApplications[Cluster ROKS cible (auto)],$B358,tblApplications[Mois de bascule prevu],"&lt;="&amp;EOMONTH($A358,0),tblApplications[Inclus projection O/N],"O")</f>
        <v>0</v>
      </c>
      <c r="J358" s="24">
        <f ca="1">SUMIFS(tblApplications[RAM cible ROKS],tblApplications[Cluster ROKS cible (auto)],$B358,tblApplications[Mois de bascule prevu],"&lt;="&amp;EOMONTH($A358,0),tblApplications[Inclus projection O/N],"O")</f>
        <v>0</v>
      </c>
      <c r="K358" s="25">
        <f t="shared" ca="1" si="30"/>
        <v>0</v>
      </c>
      <c r="L358" s="25">
        <f t="shared" ca="1" si="31"/>
        <v>0</v>
      </c>
      <c r="M358" s="26" t="str">
        <f t="shared" si="32"/>
        <v/>
      </c>
      <c r="N358" s="26" t="str">
        <f t="shared" si="33"/>
        <v/>
      </c>
      <c r="O358" s="22" t="str">
        <f ca="1">IF(E358=0,IF(K358&gt;0,"Cluster sans capacite provisionnee","n/a"),IF(OR(M358&gt;=Clusters_ROKS!$AC$5,N358&gt;=Clusters_ROKS!$AC$5),"Seuil depasse","OK"))</f>
        <v>n/a</v>
      </c>
      <c r="P358" s="25">
        <f t="shared" ca="1" si="34"/>
        <v>0</v>
      </c>
      <c r="Q358" s="25">
        <f t="shared" ca="1" si="35"/>
        <v>0</v>
      </c>
      <c r="R358" s="24">
        <f ca="1">IF(AND(P358=0,Q358=0),0,IFERROR(MAX(ROUNDUP(P358/INDEX(tblClusters[vCPU / noeud (deduit)],MATCH($B358,tblClusters[Cluster],0)),0),ROUNDUP(Q358/INDEX(tblClusters[RAM / noeud - Go (deduit)],MATCH($B358,tblClusters[Cluster],0)),0)),"Flavor a definir"))</f>
        <v>0</v>
      </c>
    </row>
    <row r="359" spans="1:18" x14ac:dyDescent="0.2">
      <c r="A359" s="38">
        <v>46569</v>
      </c>
      <c r="B359" s="21" t="s">
        <v>210</v>
      </c>
      <c r="C359" s="28" t="str">
        <f>IFERROR(INDEX(tblClusters[Utilisation],MATCH($B359,tblClusters[Cluster],0)),"")</f>
        <v>Italy HORS-PROD</v>
      </c>
      <c r="D359" s="28" t="str">
        <f>IFERROR(INDEX(tblClusters[Type (deduit)],MATCH($B359,tblClusters[Cluster],0)),"")</f>
        <v>Dedie</v>
      </c>
      <c r="E359" s="24">
        <f>IFERROR(INDEX(tblClusters[CPU max (cores)],MATCH($B359,tblClusters[Cluster],0)),0)</f>
        <v>0</v>
      </c>
      <c r="F359" s="24">
        <f>IFERROR(INDEX(tblClusters[RAM max (Go)],MATCH($B359,tblClusters[Cluster],0)),0)</f>
        <v>0</v>
      </c>
      <c r="G359" s="24">
        <f>IFERROR(INDEX(tblClusters[Charge existante CPU hors migration],MATCH($B359,tblClusters[Cluster],0)),0)</f>
        <v>0</v>
      </c>
      <c r="H359" s="24">
        <f>IFERROR(INDEX(tblClusters[Charge existante RAM hors migration (Go)],MATCH($B359,tblClusters[Cluster],0)),0)</f>
        <v>0</v>
      </c>
      <c r="I359" s="24">
        <f ca="1">SUMIFS(tblApplications[CPU cible ROKS],tblApplications[Cluster ROKS cible (auto)],$B359,tblApplications[Mois de bascule prevu],"&lt;="&amp;EOMONTH($A359,0),tblApplications[Inclus projection O/N],"O")</f>
        <v>0</v>
      </c>
      <c r="J359" s="24">
        <f ca="1">SUMIFS(tblApplications[RAM cible ROKS],tblApplications[Cluster ROKS cible (auto)],$B359,tblApplications[Mois de bascule prevu],"&lt;="&amp;EOMONTH($A359,0),tblApplications[Inclus projection O/N],"O")</f>
        <v>0</v>
      </c>
      <c r="K359" s="25">
        <f t="shared" ca="1" si="30"/>
        <v>0</v>
      </c>
      <c r="L359" s="25">
        <f t="shared" ca="1" si="31"/>
        <v>0</v>
      </c>
      <c r="M359" s="26" t="str">
        <f t="shared" si="32"/>
        <v/>
      </c>
      <c r="N359" s="26" t="str">
        <f t="shared" si="33"/>
        <v/>
      </c>
      <c r="O359" s="22" t="str">
        <f ca="1">IF(E359=0,IF(K359&gt;0,"Cluster sans capacite provisionnee","n/a"),IF(OR(M359&gt;=Clusters_ROKS!$AC$5,N359&gt;=Clusters_ROKS!$AC$5),"Seuil depasse","OK"))</f>
        <v>n/a</v>
      </c>
      <c r="P359" s="25">
        <f t="shared" ca="1" si="34"/>
        <v>0</v>
      </c>
      <c r="Q359" s="25">
        <f t="shared" ca="1" si="35"/>
        <v>0</v>
      </c>
      <c r="R359" s="24">
        <f ca="1">IF(AND(P359=0,Q359=0),0,IFERROR(MAX(ROUNDUP(P359/INDEX(tblClusters[vCPU / noeud (deduit)],MATCH($B359,tblClusters[Cluster],0)),0),ROUNDUP(Q359/INDEX(tblClusters[RAM / noeud - Go (deduit)],MATCH($B359,tblClusters[Cluster],0)),0)),"Flavor a definir"))</f>
        <v>0</v>
      </c>
    </row>
    <row r="360" spans="1:18" x14ac:dyDescent="0.2">
      <c r="A360" s="38">
        <v>46600</v>
      </c>
      <c r="B360" s="21" t="s">
        <v>210</v>
      </c>
      <c r="C360" s="28" t="str">
        <f>IFERROR(INDEX(tblClusters[Utilisation],MATCH($B360,tblClusters[Cluster],0)),"")</f>
        <v>Italy HORS-PROD</v>
      </c>
      <c r="D360" s="28" t="str">
        <f>IFERROR(INDEX(tblClusters[Type (deduit)],MATCH($B360,tblClusters[Cluster],0)),"")</f>
        <v>Dedie</v>
      </c>
      <c r="E360" s="24">
        <f>IFERROR(INDEX(tblClusters[CPU max (cores)],MATCH($B360,tblClusters[Cluster],0)),0)</f>
        <v>0</v>
      </c>
      <c r="F360" s="24">
        <f>IFERROR(INDEX(tblClusters[RAM max (Go)],MATCH($B360,tblClusters[Cluster],0)),0)</f>
        <v>0</v>
      </c>
      <c r="G360" s="24">
        <f>IFERROR(INDEX(tblClusters[Charge existante CPU hors migration],MATCH($B360,tblClusters[Cluster],0)),0)</f>
        <v>0</v>
      </c>
      <c r="H360" s="24">
        <f>IFERROR(INDEX(tblClusters[Charge existante RAM hors migration (Go)],MATCH($B360,tblClusters[Cluster],0)),0)</f>
        <v>0</v>
      </c>
      <c r="I360" s="24">
        <f ca="1">SUMIFS(tblApplications[CPU cible ROKS],tblApplications[Cluster ROKS cible (auto)],$B360,tblApplications[Mois de bascule prevu],"&lt;="&amp;EOMONTH($A360,0),tblApplications[Inclus projection O/N],"O")</f>
        <v>0</v>
      </c>
      <c r="J360" s="24">
        <f ca="1">SUMIFS(tblApplications[RAM cible ROKS],tblApplications[Cluster ROKS cible (auto)],$B360,tblApplications[Mois de bascule prevu],"&lt;="&amp;EOMONTH($A360,0),tblApplications[Inclus projection O/N],"O")</f>
        <v>0</v>
      </c>
      <c r="K360" s="25">
        <f t="shared" ca="1" si="30"/>
        <v>0</v>
      </c>
      <c r="L360" s="25">
        <f t="shared" ca="1" si="31"/>
        <v>0</v>
      </c>
      <c r="M360" s="26" t="str">
        <f t="shared" si="32"/>
        <v/>
      </c>
      <c r="N360" s="26" t="str">
        <f t="shared" si="33"/>
        <v/>
      </c>
      <c r="O360" s="22" t="str">
        <f ca="1">IF(E360=0,IF(K360&gt;0,"Cluster sans capacite provisionnee","n/a"),IF(OR(M360&gt;=Clusters_ROKS!$AC$5,N360&gt;=Clusters_ROKS!$AC$5),"Seuil depasse","OK"))</f>
        <v>n/a</v>
      </c>
      <c r="P360" s="25">
        <f t="shared" ca="1" si="34"/>
        <v>0</v>
      </c>
      <c r="Q360" s="25">
        <f t="shared" ca="1" si="35"/>
        <v>0</v>
      </c>
      <c r="R360" s="24">
        <f ca="1">IF(AND(P360=0,Q360=0),0,IFERROR(MAX(ROUNDUP(P360/INDEX(tblClusters[vCPU / noeud (deduit)],MATCH($B360,tblClusters[Cluster],0)),0),ROUNDUP(Q360/INDEX(tblClusters[RAM / noeud - Go (deduit)],MATCH($B360,tblClusters[Cluster],0)),0)),"Flavor a definir"))</f>
        <v>0</v>
      </c>
    </row>
    <row r="361" spans="1:18" x14ac:dyDescent="0.2">
      <c r="A361" s="38">
        <v>46631</v>
      </c>
      <c r="B361" s="21" t="s">
        <v>210</v>
      </c>
      <c r="C361" s="28" t="str">
        <f>IFERROR(INDEX(tblClusters[Utilisation],MATCH($B361,tblClusters[Cluster],0)),"")</f>
        <v>Italy HORS-PROD</v>
      </c>
      <c r="D361" s="28" t="str">
        <f>IFERROR(INDEX(tblClusters[Type (deduit)],MATCH($B361,tblClusters[Cluster],0)),"")</f>
        <v>Dedie</v>
      </c>
      <c r="E361" s="24">
        <f>IFERROR(INDEX(tblClusters[CPU max (cores)],MATCH($B361,tblClusters[Cluster],0)),0)</f>
        <v>0</v>
      </c>
      <c r="F361" s="24">
        <f>IFERROR(INDEX(tblClusters[RAM max (Go)],MATCH($B361,tblClusters[Cluster],0)),0)</f>
        <v>0</v>
      </c>
      <c r="G361" s="24">
        <f>IFERROR(INDEX(tblClusters[Charge existante CPU hors migration],MATCH($B361,tblClusters[Cluster],0)),0)</f>
        <v>0</v>
      </c>
      <c r="H361" s="24">
        <f>IFERROR(INDEX(tblClusters[Charge existante RAM hors migration (Go)],MATCH($B361,tblClusters[Cluster],0)),0)</f>
        <v>0</v>
      </c>
      <c r="I361" s="24">
        <f ca="1">SUMIFS(tblApplications[CPU cible ROKS],tblApplications[Cluster ROKS cible (auto)],$B361,tblApplications[Mois de bascule prevu],"&lt;="&amp;EOMONTH($A361,0),tblApplications[Inclus projection O/N],"O")</f>
        <v>0</v>
      </c>
      <c r="J361" s="24">
        <f ca="1">SUMIFS(tblApplications[RAM cible ROKS],tblApplications[Cluster ROKS cible (auto)],$B361,tblApplications[Mois de bascule prevu],"&lt;="&amp;EOMONTH($A361,0),tblApplications[Inclus projection O/N],"O")</f>
        <v>0</v>
      </c>
      <c r="K361" s="25">
        <f t="shared" ca="1" si="30"/>
        <v>0</v>
      </c>
      <c r="L361" s="25">
        <f t="shared" ca="1" si="31"/>
        <v>0</v>
      </c>
      <c r="M361" s="26" t="str">
        <f t="shared" si="32"/>
        <v/>
      </c>
      <c r="N361" s="26" t="str">
        <f t="shared" si="33"/>
        <v/>
      </c>
      <c r="O361" s="22" t="str">
        <f ca="1">IF(E361=0,IF(K361&gt;0,"Cluster sans capacite provisionnee","n/a"),IF(OR(M361&gt;=Clusters_ROKS!$AC$5,N361&gt;=Clusters_ROKS!$AC$5),"Seuil depasse","OK"))</f>
        <v>n/a</v>
      </c>
      <c r="P361" s="25">
        <f t="shared" ca="1" si="34"/>
        <v>0</v>
      </c>
      <c r="Q361" s="25">
        <f t="shared" ca="1" si="35"/>
        <v>0</v>
      </c>
      <c r="R361" s="24">
        <f ca="1">IF(AND(P361=0,Q361=0),0,IFERROR(MAX(ROUNDUP(P361/INDEX(tblClusters[vCPU / noeud (deduit)],MATCH($B361,tblClusters[Cluster],0)),0),ROUNDUP(Q361/INDEX(tblClusters[RAM / noeud - Go (deduit)],MATCH($B361,tblClusters[Cluster],0)),0)),"Flavor a definir"))</f>
        <v>0</v>
      </c>
    </row>
    <row r="362" spans="1:18" x14ac:dyDescent="0.2">
      <c r="A362" s="38">
        <v>46661</v>
      </c>
      <c r="B362" s="21" t="s">
        <v>210</v>
      </c>
      <c r="C362" s="28" t="str">
        <f>IFERROR(INDEX(tblClusters[Utilisation],MATCH($B362,tblClusters[Cluster],0)),"")</f>
        <v>Italy HORS-PROD</v>
      </c>
      <c r="D362" s="28" t="str">
        <f>IFERROR(INDEX(tblClusters[Type (deduit)],MATCH($B362,tblClusters[Cluster],0)),"")</f>
        <v>Dedie</v>
      </c>
      <c r="E362" s="24">
        <f>IFERROR(INDEX(tblClusters[CPU max (cores)],MATCH($B362,tblClusters[Cluster],0)),0)</f>
        <v>0</v>
      </c>
      <c r="F362" s="24">
        <f>IFERROR(INDEX(tblClusters[RAM max (Go)],MATCH($B362,tblClusters[Cluster],0)),0)</f>
        <v>0</v>
      </c>
      <c r="G362" s="24">
        <f>IFERROR(INDEX(tblClusters[Charge existante CPU hors migration],MATCH($B362,tblClusters[Cluster],0)),0)</f>
        <v>0</v>
      </c>
      <c r="H362" s="24">
        <f>IFERROR(INDEX(tblClusters[Charge existante RAM hors migration (Go)],MATCH($B362,tblClusters[Cluster],0)),0)</f>
        <v>0</v>
      </c>
      <c r="I362" s="24">
        <f ca="1">SUMIFS(tblApplications[CPU cible ROKS],tblApplications[Cluster ROKS cible (auto)],$B362,tblApplications[Mois de bascule prevu],"&lt;="&amp;EOMONTH($A362,0),tblApplications[Inclus projection O/N],"O")</f>
        <v>0</v>
      </c>
      <c r="J362" s="24">
        <f ca="1">SUMIFS(tblApplications[RAM cible ROKS],tblApplications[Cluster ROKS cible (auto)],$B362,tblApplications[Mois de bascule prevu],"&lt;="&amp;EOMONTH($A362,0),tblApplications[Inclus projection O/N],"O")</f>
        <v>0</v>
      </c>
      <c r="K362" s="25">
        <f t="shared" ca="1" si="30"/>
        <v>0</v>
      </c>
      <c r="L362" s="25">
        <f t="shared" ca="1" si="31"/>
        <v>0</v>
      </c>
      <c r="M362" s="26" t="str">
        <f t="shared" si="32"/>
        <v/>
      </c>
      <c r="N362" s="26" t="str">
        <f t="shared" si="33"/>
        <v/>
      </c>
      <c r="O362" s="22" t="str">
        <f ca="1">IF(E362=0,IF(K362&gt;0,"Cluster sans capacite provisionnee","n/a"),IF(OR(M362&gt;=Clusters_ROKS!$AC$5,N362&gt;=Clusters_ROKS!$AC$5),"Seuil depasse","OK"))</f>
        <v>n/a</v>
      </c>
      <c r="P362" s="25">
        <f t="shared" ca="1" si="34"/>
        <v>0</v>
      </c>
      <c r="Q362" s="25">
        <f t="shared" ca="1" si="35"/>
        <v>0</v>
      </c>
      <c r="R362" s="24">
        <f ca="1">IF(AND(P362=0,Q362=0),0,IFERROR(MAX(ROUNDUP(P362/INDEX(tblClusters[vCPU / noeud (deduit)],MATCH($B362,tblClusters[Cluster],0)),0),ROUNDUP(Q362/INDEX(tblClusters[RAM / noeud - Go (deduit)],MATCH($B362,tblClusters[Cluster],0)),0)),"Flavor a definir"))</f>
        <v>0</v>
      </c>
    </row>
    <row r="363" spans="1:18" x14ac:dyDescent="0.2">
      <c r="A363" s="38">
        <v>46692</v>
      </c>
      <c r="B363" s="21" t="s">
        <v>210</v>
      </c>
      <c r="C363" s="28" t="str">
        <f>IFERROR(INDEX(tblClusters[Utilisation],MATCH($B363,tblClusters[Cluster],0)),"")</f>
        <v>Italy HORS-PROD</v>
      </c>
      <c r="D363" s="28" t="str">
        <f>IFERROR(INDEX(tblClusters[Type (deduit)],MATCH($B363,tblClusters[Cluster],0)),"")</f>
        <v>Dedie</v>
      </c>
      <c r="E363" s="24">
        <f>IFERROR(INDEX(tblClusters[CPU max (cores)],MATCH($B363,tblClusters[Cluster],0)),0)</f>
        <v>0</v>
      </c>
      <c r="F363" s="24">
        <f>IFERROR(INDEX(tblClusters[RAM max (Go)],MATCH($B363,tblClusters[Cluster],0)),0)</f>
        <v>0</v>
      </c>
      <c r="G363" s="24">
        <f>IFERROR(INDEX(tblClusters[Charge existante CPU hors migration],MATCH($B363,tblClusters[Cluster],0)),0)</f>
        <v>0</v>
      </c>
      <c r="H363" s="24">
        <f>IFERROR(INDEX(tblClusters[Charge existante RAM hors migration (Go)],MATCH($B363,tblClusters[Cluster],0)),0)</f>
        <v>0</v>
      </c>
      <c r="I363" s="24">
        <f ca="1">SUMIFS(tblApplications[CPU cible ROKS],tblApplications[Cluster ROKS cible (auto)],$B363,tblApplications[Mois de bascule prevu],"&lt;="&amp;EOMONTH($A363,0),tblApplications[Inclus projection O/N],"O")</f>
        <v>0</v>
      </c>
      <c r="J363" s="24">
        <f ca="1">SUMIFS(tblApplications[RAM cible ROKS],tblApplications[Cluster ROKS cible (auto)],$B363,tblApplications[Mois de bascule prevu],"&lt;="&amp;EOMONTH($A363,0),tblApplications[Inclus projection O/N],"O")</f>
        <v>0</v>
      </c>
      <c r="K363" s="25">
        <f t="shared" ca="1" si="30"/>
        <v>0</v>
      </c>
      <c r="L363" s="25">
        <f t="shared" ca="1" si="31"/>
        <v>0</v>
      </c>
      <c r="M363" s="26" t="str">
        <f t="shared" si="32"/>
        <v/>
      </c>
      <c r="N363" s="26" t="str">
        <f t="shared" si="33"/>
        <v/>
      </c>
      <c r="O363" s="22" t="str">
        <f ca="1">IF(E363=0,IF(K363&gt;0,"Cluster sans capacite provisionnee","n/a"),IF(OR(M363&gt;=Clusters_ROKS!$AC$5,N363&gt;=Clusters_ROKS!$AC$5),"Seuil depasse","OK"))</f>
        <v>n/a</v>
      </c>
      <c r="P363" s="25">
        <f t="shared" ca="1" si="34"/>
        <v>0</v>
      </c>
      <c r="Q363" s="25">
        <f t="shared" ca="1" si="35"/>
        <v>0</v>
      </c>
      <c r="R363" s="24">
        <f ca="1">IF(AND(P363=0,Q363=0),0,IFERROR(MAX(ROUNDUP(P363/INDEX(tblClusters[vCPU / noeud (deduit)],MATCH($B363,tblClusters[Cluster],0)),0),ROUNDUP(Q363/INDEX(tblClusters[RAM / noeud - Go (deduit)],MATCH($B363,tblClusters[Cluster],0)),0)),"Flavor a definir"))</f>
        <v>0</v>
      </c>
    </row>
    <row r="364" spans="1:18" x14ac:dyDescent="0.2">
      <c r="A364" s="38">
        <v>46722</v>
      </c>
      <c r="B364" s="21" t="s">
        <v>210</v>
      </c>
      <c r="C364" s="28" t="str">
        <f>IFERROR(INDEX(tblClusters[Utilisation],MATCH($B364,tblClusters[Cluster],0)),"")</f>
        <v>Italy HORS-PROD</v>
      </c>
      <c r="D364" s="28" t="str">
        <f>IFERROR(INDEX(tblClusters[Type (deduit)],MATCH($B364,tblClusters[Cluster],0)),"")</f>
        <v>Dedie</v>
      </c>
      <c r="E364" s="24">
        <f>IFERROR(INDEX(tblClusters[CPU max (cores)],MATCH($B364,tblClusters[Cluster],0)),0)</f>
        <v>0</v>
      </c>
      <c r="F364" s="24">
        <f>IFERROR(INDEX(tblClusters[RAM max (Go)],MATCH($B364,tblClusters[Cluster],0)),0)</f>
        <v>0</v>
      </c>
      <c r="G364" s="24">
        <f>IFERROR(INDEX(tblClusters[Charge existante CPU hors migration],MATCH($B364,tblClusters[Cluster],0)),0)</f>
        <v>0</v>
      </c>
      <c r="H364" s="24">
        <f>IFERROR(INDEX(tblClusters[Charge existante RAM hors migration (Go)],MATCH($B364,tblClusters[Cluster],0)),0)</f>
        <v>0</v>
      </c>
      <c r="I364" s="24">
        <f ca="1">SUMIFS(tblApplications[CPU cible ROKS],tblApplications[Cluster ROKS cible (auto)],$B364,tblApplications[Mois de bascule prevu],"&lt;="&amp;EOMONTH($A364,0),tblApplications[Inclus projection O/N],"O")</f>
        <v>0</v>
      </c>
      <c r="J364" s="24">
        <f ca="1">SUMIFS(tblApplications[RAM cible ROKS],tblApplications[Cluster ROKS cible (auto)],$B364,tblApplications[Mois de bascule prevu],"&lt;="&amp;EOMONTH($A364,0),tblApplications[Inclus projection O/N],"O")</f>
        <v>0</v>
      </c>
      <c r="K364" s="25">
        <f t="shared" ca="1" si="30"/>
        <v>0</v>
      </c>
      <c r="L364" s="25">
        <f t="shared" ca="1" si="31"/>
        <v>0</v>
      </c>
      <c r="M364" s="26" t="str">
        <f t="shared" si="32"/>
        <v/>
      </c>
      <c r="N364" s="26" t="str">
        <f t="shared" si="33"/>
        <v/>
      </c>
      <c r="O364" s="22" t="str">
        <f ca="1">IF(E364=0,IF(K364&gt;0,"Cluster sans capacite provisionnee","n/a"),IF(OR(M364&gt;=Clusters_ROKS!$AC$5,N364&gt;=Clusters_ROKS!$AC$5),"Seuil depasse","OK"))</f>
        <v>n/a</v>
      </c>
      <c r="P364" s="25">
        <f t="shared" ca="1" si="34"/>
        <v>0</v>
      </c>
      <c r="Q364" s="25">
        <f t="shared" ca="1" si="35"/>
        <v>0</v>
      </c>
      <c r="R364" s="24">
        <f ca="1">IF(AND(P364=0,Q364=0),0,IFERROR(MAX(ROUNDUP(P364/INDEX(tblClusters[vCPU / noeud (deduit)],MATCH($B364,tblClusters[Cluster],0)),0),ROUNDUP(Q364/INDEX(tblClusters[RAM / noeud - Go (deduit)],MATCH($B364,tblClusters[Cluster],0)),0)),"Flavor a definir"))</f>
        <v>0</v>
      </c>
    </row>
    <row r="366" spans="1:18" x14ac:dyDescent="0.2">
      <c r="A366" s="48" t="s">
        <v>306</v>
      </c>
      <c r="B366" s="47"/>
      <c r="C366" s="47"/>
      <c r="D366" s="47"/>
      <c r="E366" s="47"/>
      <c r="F366" s="47"/>
      <c r="G366" s="47"/>
      <c r="H366" s="47"/>
    </row>
    <row r="367" spans="1:18" x14ac:dyDescent="0.2">
      <c r="A367" s="47"/>
      <c r="B367" s="47"/>
      <c r="C367" s="47"/>
      <c r="D367" s="47"/>
      <c r="E367" s="47"/>
      <c r="F367" s="47"/>
      <c r="G367" s="47"/>
      <c r="H367" s="47"/>
    </row>
    <row r="368" spans="1:18" x14ac:dyDescent="0.2">
      <c r="A368" s="47"/>
      <c r="B368" s="47"/>
      <c r="C368" s="47"/>
      <c r="D368" s="47"/>
      <c r="E368" s="47"/>
      <c r="F368" s="47"/>
      <c r="G368" s="47"/>
      <c r="H368" s="47"/>
    </row>
  </sheetData>
  <mergeCells count="1">
    <mergeCell ref="A366:H368"/>
  </mergeCells>
  <conditionalFormatting sqref="A5:R364">
    <cfRule type="expression" dxfId="0" priority="1">
      <formula>ISNUMBER(SEARCH("Seuil depasse",$O5))</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1"/>
  <sheetViews>
    <sheetView showGridLines="0"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12" customWidth="1"/>
    <col min="2" max="12" width="16" customWidth="1"/>
  </cols>
  <sheetData>
    <row r="1" spans="1:12" ht="18" x14ac:dyDescent="0.2">
      <c r="A1" s="1" t="s">
        <v>307</v>
      </c>
    </row>
    <row r="2" spans="1:12" x14ac:dyDescent="0.2">
      <c r="A2" s="2" t="s">
        <v>308</v>
      </c>
    </row>
    <row r="4" spans="1:12" ht="42" x14ac:dyDescent="0.2">
      <c r="A4" s="15" t="s">
        <v>295</v>
      </c>
      <c r="B4" s="15" t="s">
        <v>309</v>
      </c>
      <c r="C4" s="15" t="s">
        <v>310</v>
      </c>
      <c r="D4" s="15" t="s">
        <v>311</v>
      </c>
      <c r="E4" s="15" t="s">
        <v>312</v>
      </c>
      <c r="F4" s="15" t="s">
        <v>313</v>
      </c>
      <c r="G4" s="15" t="s">
        <v>314</v>
      </c>
      <c r="H4" s="15" t="s">
        <v>315</v>
      </c>
      <c r="I4" s="15" t="s">
        <v>316</v>
      </c>
      <c r="J4" s="15" t="s">
        <v>317</v>
      </c>
      <c r="K4" s="15" t="s">
        <v>318</v>
      </c>
      <c r="L4" s="15" t="s">
        <v>319</v>
      </c>
    </row>
    <row r="5" spans="1:12" x14ac:dyDescent="0.2">
      <c r="A5" s="39">
        <v>46388</v>
      </c>
      <c r="B5" s="37">
        <f t="shared" ref="B5:B16" si="0">EOMONTH(A5,0)</f>
        <v>46418</v>
      </c>
      <c r="C5" s="24">
        <f>SUMIFS(tblApplications[CPU cible ROKS],tblApplications[Mois de bascule prevu],"&lt;="&amp;$B5,tblApplications[Inclus projection O/N],"O")</f>
        <v>24</v>
      </c>
      <c r="D5" s="24">
        <f>SUMIFS(tblApplications[RAM cible ROKS],tblApplications[Mois de bascule prevu],"&lt;="&amp;$B5,tblApplications[Inclus projection O/N],"O")</f>
        <v>93</v>
      </c>
      <c r="E5" s="24">
        <f>SUMIFS(tblApplications[CPU cible ROKS],tblApplications[Date arret IKS calculee],"&gt;"&amp;$B5,tblApplications[Inclus projection O/N],"O")</f>
        <v>115</v>
      </c>
      <c r="F5" s="24">
        <f>SUMIFS(tblApplications[RAM cible ROKS],tblApplications[Date arret IKS calculee],"&gt;"&amp;$B5,tblApplications[Inclus projection O/N],"O")</f>
        <v>439</v>
      </c>
      <c r="G5" s="24">
        <f>SUMIFS(tblApplications[CPU cible ROKS],tblApplications[Mois de bascule prevu],"&lt;="&amp;$B5,tblApplications[Date arret IKS calculee],"&gt;"&amp;$B5,tblApplications[Inclus projection O/N],"O")</f>
        <v>12</v>
      </c>
      <c r="H5" s="24">
        <f>SUMIFS(tblApplications[RAM cible ROKS],tblApplications[Mois de bascule prevu],"&lt;="&amp;$B5,tblApplications[Date arret IKS calculee],"&gt;"&amp;$B5,tblApplications[Inclus projection O/N],"O")</f>
        <v>45</v>
      </c>
      <c r="I5" s="40">
        <f>C5*Tarifs_ABS!$B$6+D5*Tarifs_ABS!$C$6</f>
        <v>1377</v>
      </c>
      <c r="J5" s="40">
        <f>E5*Tarifs_ABS!$B$5+F5*Tarifs_ABS!$C$5</f>
        <v>7809</v>
      </c>
      <c r="K5" s="41">
        <f t="shared" ref="K5:K16" si="1">I5+J5</f>
        <v>9186</v>
      </c>
      <c r="L5" s="40">
        <f>G5*Tarifs_ABS!$B$5+H5*Tarifs_ABS!$C$5</f>
        <v>810</v>
      </c>
    </row>
    <row r="6" spans="1:12" x14ac:dyDescent="0.2">
      <c r="A6" s="39">
        <v>46419</v>
      </c>
      <c r="B6" s="37">
        <f t="shared" si="0"/>
        <v>46446</v>
      </c>
      <c r="C6" s="24">
        <f>SUMIFS(tblApplications[CPU cible ROKS],tblApplications[Mois de bascule prevu],"&lt;="&amp;$B6,tblApplications[Inclus projection O/N],"O")</f>
        <v>34</v>
      </c>
      <c r="D6" s="24">
        <f>SUMIFS(tblApplications[RAM cible ROKS],tblApplications[Mois de bascule prevu],"&lt;="&amp;$B6,tblApplications[Inclus projection O/N],"O")</f>
        <v>128</v>
      </c>
      <c r="E6" s="24">
        <f>SUMIFS(tblApplications[CPU cible ROKS],tblApplications[Date arret IKS calculee],"&gt;"&amp;$B6,tblApplications[Inclus projection O/N],"O")</f>
        <v>103</v>
      </c>
      <c r="F6" s="24">
        <f>SUMIFS(tblApplications[RAM cible ROKS],tblApplications[Date arret IKS calculee],"&gt;"&amp;$B6,tblApplications[Inclus projection O/N],"O")</f>
        <v>394</v>
      </c>
      <c r="G6" s="24">
        <f>SUMIFS(tblApplications[CPU cible ROKS],tblApplications[Mois de bascule prevu],"&lt;="&amp;$B6,tblApplications[Date arret IKS calculee],"&gt;"&amp;$B6,tblApplications[Inclus projection O/N],"O")</f>
        <v>10</v>
      </c>
      <c r="H6" s="24">
        <f>SUMIFS(tblApplications[RAM cible ROKS],tblApplications[Mois de bascule prevu],"&lt;="&amp;$B6,tblApplications[Date arret IKS calculee],"&gt;"&amp;$B6,tblApplications[Inclus projection O/N],"O")</f>
        <v>35</v>
      </c>
      <c r="I6" s="40">
        <f>C6*Tarifs_ABS!$B$6+D6*Tarifs_ABS!$C$6</f>
        <v>1932</v>
      </c>
      <c r="J6" s="40">
        <f>E6*Tarifs_ABS!$B$5+F6*Tarifs_ABS!$C$5</f>
        <v>6999</v>
      </c>
      <c r="K6" s="41">
        <f t="shared" si="1"/>
        <v>8931</v>
      </c>
      <c r="L6" s="40">
        <f>G6*Tarifs_ABS!$B$5+H6*Tarifs_ABS!$C$5</f>
        <v>660</v>
      </c>
    </row>
    <row r="7" spans="1:12" x14ac:dyDescent="0.2">
      <c r="A7" s="39">
        <v>46447</v>
      </c>
      <c r="B7" s="37">
        <f t="shared" si="0"/>
        <v>46477</v>
      </c>
      <c r="C7" s="24">
        <f>SUMIFS(tblApplications[CPU cible ROKS],tblApplications[Mois de bascule prevu],"&lt;="&amp;$B7,tblApplications[Inclus projection O/N],"O")</f>
        <v>57</v>
      </c>
      <c r="D7" s="24">
        <f>SUMIFS(tblApplications[RAM cible ROKS],tblApplications[Mois de bascule prevu],"&lt;="&amp;$B7,tblApplications[Inclus projection O/N],"O")</f>
        <v>216</v>
      </c>
      <c r="E7" s="24">
        <f>SUMIFS(tblApplications[CPU cible ROKS],tblApplications[Date arret IKS calculee],"&gt;"&amp;$B7,tblApplications[Inclus projection O/N],"O")</f>
        <v>93</v>
      </c>
      <c r="F7" s="24">
        <f>SUMIFS(tblApplications[RAM cible ROKS],tblApplications[Date arret IKS calculee],"&gt;"&amp;$B7,tblApplications[Inclus projection O/N],"O")</f>
        <v>359</v>
      </c>
      <c r="G7" s="24">
        <f>SUMIFS(tblApplications[CPU cible ROKS],tblApplications[Mois de bascule prevu],"&lt;="&amp;$B7,tblApplications[Date arret IKS calculee],"&gt;"&amp;$B7,tblApplications[Inclus projection O/N],"O")</f>
        <v>23</v>
      </c>
      <c r="H7" s="24">
        <f>SUMIFS(tblApplications[RAM cible ROKS],tblApplications[Mois de bascule prevu],"&lt;="&amp;$B7,tblApplications[Date arret IKS calculee],"&gt;"&amp;$B7,tblApplications[Inclus projection O/N],"O")</f>
        <v>88</v>
      </c>
      <c r="I7" s="40">
        <f>C7*Tarifs_ABS!$B$6+D7*Tarifs_ABS!$C$6</f>
        <v>3246</v>
      </c>
      <c r="J7" s="40">
        <f>E7*Tarifs_ABS!$B$5+F7*Tarifs_ABS!$C$5</f>
        <v>6339</v>
      </c>
      <c r="K7" s="41">
        <f t="shared" si="1"/>
        <v>9585</v>
      </c>
      <c r="L7" s="40">
        <f>G7*Tarifs_ABS!$B$5+H7*Tarifs_ABS!$C$5</f>
        <v>1563</v>
      </c>
    </row>
    <row r="8" spans="1:12" x14ac:dyDescent="0.2">
      <c r="A8" s="39">
        <v>46478</v>
      </c>
      <c r="B8" s="37">
        <f t="shared" si="0"/>
        <v>46507</v>
      </c>
      <c r="C8" s="24">
        <f>SUMIFS(tblApplications[CPU cible ROKS],tblApplications[Mois de bascule prevu],"&lt;="&amp;$B8,tblApplications[Inclus projection O/N],"O")</f>
        <v>81</v>
      </c>
      <c r="D8" s="24">
        <f>SUMIFS(tblApplications[RAM cible ROKS],tblApplications[Mois de bascule prevu],"&lt;="&amp;$B8,tblApplications[Inclus projection O/N],"O")</f>
        <v>303</v>
      </c>
      <c r="E8" s="24">
        <f>SUMIFS(tblApplications[CPU cible ROKS],tblApplications[Date arret IKS calculee],"&gt;"&amp;$B8,tblApplications[Inclus projection O/N],"O")</f>
        <v>70</v>
      </c>
      <c r="F8" s="24">
        <f>SUMIFS(tblApplications[RAM cible ROKS],tblApplications[Date arret IKS calculee],"&gt;"&amp;$B8,tblApplications[Inclus projection O/N],"O")</f>
        <v>271</v>
      </c>
      <c r="G8" s="24">
        <f>SUMIFS(tblApplications[CPU cible ROKS],tblApplications[Mois de bascule prevu],"&lt;="&amp;$B8,tblApplications[Date arret IKS calculee],"&gt;"&amp;$B8,tblApplications[Inclus projection O/N],"O")</f>
        <v>24</v>
      </c>
      <c r="H8" s="24">
        <f>SUMIFS(tblApplications[RAM cible ROKS],tblApplications[Mois de bascule prevu],"&lt;="&amp;$B8,tblApplications[Date arret IKS calculee],"&gt;"&amp;$B8,tblApplications[Inclus projection O/N],"O")</f>
        <v>87</v>
      </c>
      <c r="I8" s="40">
        <f>C8*Tarifs_ABS!$B$6+D8*Tarifs_ABS!$C$6</f>
        <v>4593</v>
      </c>
      <c r="J8" s="40">
        <f>E8*Tarifs_ABS!$B$5+F8*Tarifs_ABS!$C$5</f>
        <v>4776</v>
      </c>
      <c r="K8" s="41">
        <f t="shared" si="1"/>
        <v>9369</v>
      </c>
      <c r="L8" s="40">
        <f>G8*Tarifs_ABS!$B$5+H8*Tarifs_ABS!$C$5</f>
        <v>1602</v>
      </c>
    </row>
    <row r="9" spans="1:12" x14ac:dyDescent="0.2">
      <c r="A9" s="39">
        <v>46508</v>
      </c>
      <c r="B9" s="37">
        <f t="shared" si="0"/>
        <v>46538</v>
      </c>
      <c r="C9" s="24">
        <f>SUMIFS(tblApplications[CPU cible ROKS],tblApplications[Mois de bascule prevu],"&lt;="&amp;$B9,tblApplications[Inclus projection O/N],"O")</f>
        <v>117</v>
      </c>
      <c r="D9" s="24">
        <f>SUMIFS(tblApplications[RAM cible ROKS],tblApplications[Mois de bascule prevu],"&lt;="&amp;$B9,tblApplications[Inclus projection O/N],"O")</f>
        <v>447</v>
      </c>
      <c r="E9" s="24">
        <f>SUMIFS(tblApplications[CPU cible ROKS],tblApplications[Date arret IKS calculee],"&gt;"&amp;$B9,tblApplications[Inclus projection O/N],"O")</f>
        <v>46</v>
      </c>
      <c r="F9" s="24">
        <f>SUMIFS(tblApplications[RAM cible ROKS],tblApplications[Date arret IKS calculee],"&gt;"&amp;$B9,tblApplications[Inclus projection O/N],"O")</f>
        <v>184</v>
      </c>
      <c r="G9" s="24">
        <f>SUMIFS(tblApplications[CPU cible ROKS],tblApplications[Mois de bascule prevu],"&lt;="&amp;$B9,tblApplications[Date arret IKS calculee],"&gt;"&amp;$B9,tblApplications[Inclus projection O/N],"O")</f>
        <v>36</v>
      </c>
      <c r="H9" s="24">
        <f>SUMIFS(tblApplications[RAM cible ROKS],tblApplications[Mois de bascule prevu],"&lt;="&amp;$B9,tblApplications[Date arret IKS calculee],"&gt;"&amp;$B9,tblApplications[Inclus projection O/N],"O")</f>
        <v>144</v>
      </c>
      <c r="I9" s="40">
        <f>C9*Tarifs_ABS!$B$6+D9*Tarifs_ABS!$C$6</f>
        <v>6681</v>
      </c>
      <c r="J9" s="40">
        <f>E9*Tarifs_ABS!$B$5+F9*Tarifs_ABS!$C$5</f>
        <v>3174</v>
      </c>
      <c r="K9" s="41">
        <f t="shared" si="1"/>
        <v>9855</v>
      </c>
      <c r="L9" s="40">
        <f>G9*Tarifs_ABS!$B$5+H9*Tarifs_ABS!$C$5</f>
        <v>2484</v>
      </c>
    </row>
    <row r="10" spans="1:12" x14ac:dyDescent="0.2">
      <c r="A10" s="39">
        <v>46539</v>
      </c>
      <c r="B10" s="37">
        <f t="shared" si="0"/>
        <v>46568</v>
      </c>
      <c r="C10" s="24">
        <f>SUMIFS(tblApplications[CPU cible ROKS],tblApplications[Mois de bascule prevu],"&lt;="&amp;$B10,tblApplications[Inclus projection O/N],"O")</f>
        <v>127</v>
      </c>
      <c r="D10" s="24">
        <f>SUMIFS(tblApplications[RAM cible ROKS],tblApplications[Mois de bascule prevu],"&lt;="&amp;$B10,tblApplications[Inclus projection O/N],"O")</f>
        <v>487</v>
      </c>
      <c r="E10" s="24">
        <f>SUMIFS(tblApplications[CPU cible ROKS],tblApplications[Date arret IKS calculee],"&gt;"&amp;$B10,tblApplications[Inclus projection O/N],"O")</f>
        <v>46</v>
      </c>
      <c r="F10" s="24">
        <f>SUMIFS(tblApplications[RAM cible ROKS],tblApplications[Date arret IKS calculee],"&gt;"&amp;$B10,tblApplications[Inclus projection O/N],"O")</f>
        <v>184</v>
      </c>
      <c r="G10" s="24">
        <f>SUMIFS(tblApplications[CPU cible ROKS],tblApplications[Mois de bascule prevu],"&lt;="&amp;$B10,tblApplications[Date arret IKS calculee],"&gt;"&amp;$B10,tblApplications[Inclus projection O/N],"O")</f>
        <v>46</v>
      </c>
      <c r="H10" s="24">
        <f>SUMIFS(tblApplications[RAM cible ROKS],tblApplications[Mois de bascule prevu],"&lt;="&amp;$B10,tblApplications[Date arret IKS calculee],"&gt;"&amp;$B10,tblApplications[Inclus projection O/N],"O")</f>
        <v>184</v>
      </c>
      <c r="I10" s="40">
        <f>C10*Tarifs_ABS!$B$6+D10*Tarifs_ABS!$C$6</f>
        <v>7261</v>
      </c>
      <c r="J10" s="40">
        <f>E10*Tarifs_ABS!$B$5+F10*Tarifs_ABS!$C$5</f>
        <v>3174</v>
      </c>
      <c r="K10" s="41">
        <f t="shared" si="1"/>
        <v>10435</v>
      </c>
      <c r="L10" s="40">
        <f>G10*Tarifs_ABS!$B$5+H10*Tarifs_ABS!$C$5</f>
        <v>3174</v>
      </c>
    </row>
    <row r="11" spans="1:12" x14ac:dyDescent="0.2">
      <c r="A11" s="39">
        <v>46569</v>
      </c>
      <c r="B11" s="37">
        <f t="shared" si="0"/>
        <v>46599</v>
      </c>
      <c r="C11" s="24">
        <f>SUMIFS(tblApplications[CPU cible ROKS],tblApplications[Mois de bascule prevu],"&lt;="&amp;$B11,tblApplications[Inclus projection O/N],"O")</f>
        <v>127</v>
      </c>
      <c r="D11" s="24">
        <f>SUMIFS(tblApplications[RAM cible ROKS],tblApplications[Mois de bascule prevu],"&lt;="&amp;$B11,tblApplications[Inclus projection O/N],"O")</f>
        <v>487</v>
      </c>
      <c r="E11" s="24">
        <f>SUMIFS(tblApplications[CPU cible ROKS],tblApplications[Date arret IKS calculee],"&gt;"&amp;$B11,tblApplications[Inclus projection O/N],"O")</f>
        <v>0</v>
      </c>
      <c r="F11" s="24">
        <f>SUMIFS(tblApplications[RAM cible ROKS],tblApplications[Date arret IKS calculee],"&gt;"&amp;$B11,tblApplications[Inclus projection O/N],"O")</f>
        <v>0</v>
      </c>
      <c r="G11" s="24">
        <f>SUMIFS(tblApplications[CPU cible ROKS],tblApplications[Mois de bascule prevu],"&lt;="&amp;$B11,tblApplications[Date arret IKS calculee],"&gt;"&amp;$B11,tblApplications[Inclus projection O/N],"O")</f>
        <v>0</v>
      </c>
      <c r="H11" s="24">
        <f>SUMIFS(tblApplications[RAM cible ROKS],tblApplications[Mois de bascule prevu],"&lt;="&amp;$B11,tblApplications[Date arret IKS calculee],"&gt;"&amp;$B11,tblApplications[Inclus projection O/N],"O")</f>
        <v>0</v>
      </c>
      <c r="I11" s="40">
        <f>C11*Tarifs_ABS!$B$6+D11*Tarifs_ABS!$C$6</f>
        <v>7261</v>
      </c>
      <c r="J11" s="40">
        <f>E11*Tarifs_ABS!$B$5+F11*Tarifs_ABS!$C$5</f>
        <v>0</v>
      </c>
      <c r="K11" s="41">
        <f t="shared" si="1"/>
        <v>7261</v>
      </c>
      <c r="L11" s="40">
        <f>G11*Tarifs_ABS!$B$5+H11*Tarifs_ABS!$C$5</f>
        <v>0</v>
      </c>
    </row>
    <row r="12" spans="1:12" x14ac:dyDescent="0.2">
      <c r="A12" s="39">
        <v>46600</v>
      </c>
      <c r="B12" s="37">
        <f t="shared" si="0"/>
        <v>46630</v>
      </c>
      <c r="C12" s="24">
        <f>SUMIFS(tblApplications[CPU cible ROKS],tblApplications[Mois de bascule prevu],"&lt;="&amp;$B12,tblApplications[Inclus projection O/N],"O")</f>
        <v>127</v>
      </c>
      <c r="D12" s="24">
        <f>SUMIFS(tblApplications[RAM cible ROKS],tblApplications[Mois de bascule prevu],"&lt;="&amp;$B12,tblApplications[Inclus projection O/N],"O")</f>
        <v>487</v>
      </c>
      <c r="E12" s="24">
        <f>SUMIFS(tblApplications[CPU cible ROKS],tblApplications[Date arret IKS calculee],"&gt;"&amp;$B12,tblApplications[Inclus projection O/N],"O")</f>
        <v>0</v>
      </c>
      <c r="F12" s="24">
        <f>SUMIFS(tblApplications[RAM cible ROKS],tblApplications[Date arret IKS calculee],"&gt;"&amp;$B12,tblApplications[Inclus projection O/N],"O")</f>
        <v>0</v>
      </c>
      <c r="G12" s="24">
        <f>SUMIFS(tblApplications[CPU cible ROKS],tblApplications[Mois de bascule prevu],"&lt;="&amp;$B12,tblApplications[Date arret IKS calculee],"&gt;"&amp;$B12,tblApplications[Inclus projection O/N],"O")</f>
        <v>0</v>
      </c>
      <c r="H12" s="24">
        <f>SUMIFS(tblApplications[RAM cible ROKS],tblApplications[Mois de bascule prevu],"&lt;="&amp;$B12,tblApplications[Date arret IKS calculee],"&gt;"&amp;$B12,tblApplications[Inclus projection O/N],"O")</f>
        <v>0</v>
      </c>
      <c r="I12" s="40">
        <f>C12*Tarifs_ABS!$B$6+D12*Tarifs_ABS!$C$6</f>
        <v>7261</v>
      </c>
      <c r="J12" s="40">
        <f>E12*Tarifs_ABS!$B$5+F12*Tarifs_ABS!$C$5</f>
        <v>0</v>
      </c>
      <c r="K12" s="41">
        <f t="shared" si="1"/>
        <v>7261</v>
      </c>
      <c r="L12" s="40">
        <f>G12*Tarifs_ABS!$B$5+H12*Tarifs_ABS!$C$5</f>
        <v>0</v>
      </c>
    </row>
    <row r="13" spans="1:12" x14ac:dyDescent="0.2">
      <c r="A13" s="39">
        <v>46631</v>
      </c>
      <c r="B13" s="37">
        <f t="shared" si="0"/>
        <v>46660</v>
      </c>
      <c r="C13" s="24">
        <f>SUMIFS(tblApplications[CPU cible ROKS],tblApplications[Mois de bascule prevu],"&lt;="&amp;$B13,tblApplications[Inclus projection O/N],"O")</f>
        <v>127</v>
      </c>
      <c r="D13" s="24">
        <f>SUMIFS(tblApplications[RAM cible ROKS],tblApplications[Mois de bascule prevu],"&lt;="&amp;$B13,tblApplications[Inclus projection O/N],"O")</f>
        <v>487</v>
      </c>
      <c r="E13" s="24">
        <f>SUMIFS(tblApplications[CPU cible ROKS],tblApplications[Date arret IKS calculee],"&gt;"&amp;$B13,tblApplications[Inclus projection O/N],"O")</f>
        <v>0</v>
      </c>
      <c r="F13" s="24">
        <f>SUMIFS(tblApplications[RAM cible ROKS],tblApplications[Date arret IKS calculee],"&gt;"&amp;$B13,tblApplications[Inclus projection O/N],"O")</f>
        <v>0</v>
      </c>
      <c r="G13" s="24">
        <f>SUMIFS(tblApplications[CPU cible ROKS],tblApplications[Mois de bascule prevu],"&lt;="&amp;$B13,tblApplications[Date arret IKS calculee],"&gt;"&amp;$B13,tblApplications[Inclus projection O/N],"O")</f>
        <v>0</v>
      </c>
      <c r="H13" s="24">
        <f>SUMIFS(tblApplications[RAM cible ROKS],tblApplications[Mois de bascule prevu],"&lt;="&amp;$B13,tblApplications[Date arret IKS calculee],"&gt;"&amp;$B13,tblApplications[Inclus projection O/N],"O")</f>
        <v>0</v>
      </c>
      <c r="I13" s="40">
        <f>C13*Tarifs_ABS!$B$6+D13*Tarifs_ABS!$C$6</f>
        <v>7261</v>
      </c>
      <c r="J13" s="40">
        <f>E13*Tarifs_ABS!$B$5+F13*Tarifs_ABS!$C$5</f>
        <v>0</v>
      </c>
      <c r="K13" s="41">
        <f t="shared" si="1"/>
        <v>7261</v>
      </c>
      <c r="L13" s="40">
        <f>G13*Tarifs_ABS!$B$5+H13*Tarifs_ABS!$C$5</f>
        <v>0</v>
      </c>
    </row>
    <row r="14" spans="1:12" x14ac:dyDescent="0.2">
      <c r="A14" s="39">
        <v>46661</v>
      </c>
      <c r="B14" s="37">
        <f t="shared" si="0"/>
        <v>46691</v>
      </c>
      <c r="C14" s="24">
        <f>SUMIFS(tblApplications[CPU cible ROKS],tblApplications[Mois de bascule prevu],"&lt;="&amp;$B14,tblApplications[Inclus projection O/N],"O")</f>
        <v>127</v>
      </c>
      <c r="D14" s="24">
        <f>SUMIFS(tblApplications[RAM cible ROKS],tblApplications[Mois de bascule prevu],"&lt;="&amp;$B14,tblApplications[Inclus projection O/N],"O")</f>
        <v>487</v>
      </c>
      <c r="E14" s="24">
        <f>SUMIFS(tblApplications[CPU cible ROKS],tblApplications[Date arret IKS calculee],"&gt;"&amp;$B14,tblApplications[Inclus projection O/N],"O")</f>
        <v>0</v>
      </c>
      <c r="F14" s="24">
        <f>SUMIFS(tblApplications[RAM cible ROKS],tblApplications[Date arret IKS calculee],"&gt;"&amp;$B14,tblApplications[Inclus projection O/N],"O")</f>
        <v>0</v>
      </c>
      <c r="G14" s="24">
        <f>SUMIFS(tblApplications[CPU cible ROKS],tblApplications[Mois de bascule prevu],"&lt;="&amp;$B14,tblApplications[Date arret IKS calculee],"&gt;"&amp;$B14,tblApplications[Inclus projection O/N],"O")</f>
        <v>0</v>
      </c>
      <c r="H14" s="24">
        <f>SUMIFS(tblApplications[RAM cible ROKS],tblApplications[Mois de bascule prevu],"&lt;="&amp;$B14,tblApplications[Date arret IKS calculee],"&gt;"&amp;$B14,tblApplications[Inclus projection O/N],"O")</f>
        <v>0</v>
      </c>
      <c r="I14" s="40">
        <f>C14*Tarifs_ABS!$B$6+D14*Tarifs_ABS!$C$6</f>
        <v>7261</v>
      </c>
      <c r="J14" s="40">
        <f>E14*Tarifs_ABS!$B$5+F14*Tarifs_ABS!$C$5</f>
        <v>0</v>
      </c>
      <c r="K14" s="41">
        <f t="shared" si="1"/>
        <v>7261</v>
      </c>
      <c r="L14" s="40">
        <f>G14*Tarifs_ABS!$B$5+H14*Tarifs_ABS!$C$5</f>
        <v>0</v>
      </c>
    </row>
    <row r="15" spans="1:12" x14ac:dyDescent="0.2">
      <c r="A15" s="39">
        <v>46692</v>
      </c>
      <c r="B15" s="37">
        <f t="shared" si="0"/>
        <v>46721</v>
      </c>
      <c r="C15" s="24">
        <f>SUMIFS(tblApplications[CPU cible ROKS],tblApplications[Mois de bascule prevu],"&lt;="&amp;$B15,tblApplications[Inclus projection O/N],"O")</f>
        <v>127</v>
      </c>
      <c r="D15" s="24">
        <f>SUMIFS(tblApplications[RAM cible ROKS],tblApplications[Mois de bascule prevu],"&lt;="&amp;$B15,tblApplications[Inclus projection O/N],"O")</f>
        <v>487</v>
      </c>
      <c r="E15" s="24">
        <f>SUMIFS(tblApplications[CPU cible ROKS],tblApplications[Date arret IKS calculee],"&gt;"&amp;$B15,tblApplications[Inclus projection O/N],"O")</f>
        <v>0</v>
      </c>
      <c r="F15" s="24">
        <f>SUMIFS(tblApplications[RAM cible ROKS],tblApplications[Date arret IKS calculee],"&gt;"&amp;$B15,tblApplications[Inclus projection O/N],"O")</f>
        <v>0</v>
      </c>
      <c r="G15" s="24">
        <f>SUMIFS(tblApplications[CPU cible ROKS],tblApplications[Mois de bascule prevu],"&lt;="&amp;$B15,tblApplications[Date arret IKS calculee],"&gt;"&amp;$B15,tblApplications[Inclus projection O/N],"O")</f>
        <v>0</v>
      </c>
      <c r="H15" s="24">
        <f>SUMIFS(tblApplications[RAM cible ROKS],tblApplications[Mois de bascule prevu],"&lt;="&amp;$B15,tblApplications[Date arret IKS calculee],"&gt;"&amp;$B15,tblApplications[Inclus projection O/N],"O")</f>
        <v>0</v>
      </c>
      <c r="I15" s="40">
        <f>C15*Tarifs_ABS!$B$6+D15*Tarifs_ABS!$C$6</f>
        <v>7261</v>
      </c>
      <c r="J15" s="40">
        <f>E15*Tarifs_ABS!$B$5+F15*Tarifs_ABS!$C$5</f>
        <v>0</v>
      </c>
      <c r="K15" s="41">
        <f t="shared" si="1"/>
        <v>7261</v>
      </c>
      <c r="L15" s="40">
        <f>G15*Tarifs_ABS!$B$5+H15*Tarifs_ABS!$C$5</f>
        <v>0</v>
      </c>
    </row>
    <row r="16" spans="1:12" x14ac:dyDescent="0.2">
      <c r="A16" s="39">
        <v>46722</v>
      </c>
      <c r="B16" s="37">
        <f t="shared" si="0"/>
        <v>46752</v>
      </c>
      <c r="C16" s="24">
        <f>SUMIFS(tblApplications[CPU cible ROKS],tblApplications[Mois de bascule prevu],"&lt;="&amp;$B16,tblApplications[Inclus projection O/N],"O")</f>
        <v>127</v>
      </c>
      <c r="D16" s="24">
        <f>SUMIFS(tblApplications[RAM cible ROKS],tblApplications[Mois de bascule prevu],"&lt;="&amp;$B16,tblApplications[Inclus projection O/N],"O")</f>
        <v>487</v>
      </c>
      <c r="E16" s="24">
        <f>SUMIFS(tblApplications[CPU cible ROKS],tblApplications[Date arret IKS calculee],"&gt;"&amp;$B16,tblApplications[Inclus projection O/N],"O")</f>
        <v>0</v>
      </c>
      <c r="F16" s="24">
        <f>SUMIFS(tblApplications[RAM cible ROKS],tblApplications[Date arret IKS calculee],"&gt;"&amp;$B16,tblApplications[Inclus projection O/N],"O")</f>
        <v>0</v>
      </c>
      <c r="G16" s="24">
        <f>SUMIFS(tblApplications[CPU cible ROKS],tblApplications[Mois de bascule prevu],"&lt;="&amp;$B16,tblApplications[Date arret IKS calculee],"&gt;"&amp;$B16,tblApplications[Inclus projection O/N],"O")</f>
        <v>0</v>
      </c>
      <c r="H16" s="24">
        <f>SUMIFS(tblApplications[RAM cible ROKS],tblApplications[Mois de bascule prevu],"&lt;="&amp;$B16,tblApplications[Date arret IKS calculee],"&gt;"&amp;$B16,tblApplications[Inclus projection O/N],"O")</f>
        <v>0</v>
      </c>
      <c r="I16" s="40">
        <f>C16*Tarifs_ABS!$B$6+D16*Tarifs_ABS!$C$6</f>
        <v>7261</v>
      </c>
      <c r="J16" s="40">
        <f>E16*Tarifs_ABS!$B$5+F16*Tarifs_ABS!$C$5</f>
        <v>0</v>
      </c>
      <c r="K16" s="41">
        <f t="shared" si="1"/>
        <v>7261</v>
      </c>
      <c r="L16" s="40">
        <f>G16*Tarifs_ABS!$B$5+H16*Tarifs_ABS!$C$5</f>
        <v>0</v>
      </c>
    </row>
    <row r="18" spans="1:12" x14ac:dyDescent="0.2">
      <c r="B18" s="5" t="s">
        <v>320</v>
      </c>
      <c r="I18" s="42">
        <f>SUM(I5:I16)</f>
        <v>68656</v>
      </c>
      <c r="J18" s="42">
        <f>SUM(J5:J16)</f>
        <v>32271</v>
      </c>
      <c r="K18" s="42">
        <f>SUM(K5:K16)</f>
        <v>100927</v>
      </c>
      <c r="L18" s="42">
        <f>SUM(L5:L16)</f>
        <v>10293</v>
      </c>
    </row>
    <row r="20" spans="1:12" x14ac:dyDescent="0.2">
      <c r="A20" s="48" t="s">
        <v>321</v>
      </c>
      <c r="B20" s="47"/>
      <c r="C20" s="47"/>
      <c r="D20" s="47"/>
      <c r="E20" s="47"/>
      <c r="F20" s="47"/>
      <c r="G20" s="47"/>
      <c r="H20" s="47"/>
    </row>
    <row r="21" spans="1:12" x14ac:dyDescent="0.2">
      <c r="A21" s="47"/>
      <c r="B21" s="47"/>
      <c r="C21" s="47"/>
      <c r="D21" s="47"/>
      <c r="E21" s="47"/>
      <c r="F21" s="47"/>
      <c r="G21" s="47"/>
      <c r="H21" s="47"/>
    </row>
  </sheetData>
  <mergeCells count="1">
    <mergeCell ref="A20:H2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4"/>
  <sheetViews>
    <sheetView showGridLines="0" workbookViewId="0"/>
  </sheetViews>
  <sheetFormatPr baseColWidth="10" defaultColWidth="8.83203125" defaultRowHeight="15" x14ac:dyDescent="0.2"/>
  <cols>
    <col min="1" max="1" width="40" customWidth="1"/>
    <col min="2" max="3" width="18" customWidth="1"/>
    <col min="4" max="4" width="20" customWidth="1"/>
    <col min="5" max="5" width="16" customWidth="1"/>
  </cols>
  <sheetData>
    <row r="1" spans="1:5" ht="18" x14ac:dyDescent="0.2">
      <c r="A1" s="1" t="s">
        <v>322</v>
      </c>
    </row>
    <row r="2" spans="1:5" x14ac:dyDescent="0.2">
      <c r="A2" s="2" t="s">
        <v>323</v>
      </c>
    </row>
    <row r="4" spans="1:5" x14ac:dyDescent="0.2">
      <c r="A4" s="5" t="s">
        <v>324</v>
      </c>
    </row>
    <row r="5" spans="1:5" x14ac:dyDescent="0.2">
      <c r="A5" s="51" t="s">
        <v>325</v>
      </c>
      <c r="B5" s="52"/>
      <c r="C5" s="53"/>
      <c r="D5" s="43">
        <f>(SUMIFS(tblApplications[CPU cible ROKS],tblApplications[Inclus projection O/N],"O")*Tarifs_ABS!$B$5)+(SUMIFS(tblApplications[RAM cible ROKS],tblApplications[Inclus projection O/N],"O")*Tarifs_ABS!$C$5)</f>
        <v>8637</v>
      </c>
    </row>
    <row r="6" spans="1:5" x14ac:dyDescent="0.2">
      <c r="A6" s="51" t="s">
        <v>326</v>
      </c>
      <c r="B6" s="52"/>
      <c r="C6" s="53"/>
      <c r="D6" s="43">
        <f>(SUMIFS(tblApplications[CPU cible ROKS],tblApplications[Inclus projection O/N],"O")*Tarifs_ABS!$B$6)+(SUMIFS(tblApplications[RAM cible ROKS],tblApplications[Inclus projection O/N],"O")*Tarifs_ABS!$C$6)</f>
        <v>7261</v>
      </c>
    </row>
    <row r="7" spans="1:5" x14ac:dyDescent="0.2">
      <c r="A7" s="51" t="s">
        <v>327</v>
      </c>
      <c r="B7" s="52"/>
      <c r="C7" s="53"/>
      <c r="D7" s="43">
        <f>SUM(Consolidation_Mensuelle!K5:K16)</f>
        <v>100927</v>
      </c>
    </row>
    <row r="8" spans="1:5" x14ac:dyDescent="0.2">
      <c r="A8" s="51" t="s">
        <v>328</v>
      </c>
      <c r="B8" s="52"/>
      <c r="C8" s="53"/>
      <c r="D8" s="43">
        <f>SUM(Consolidation_Mensuelle!L5:L16)</f>
        <v>10293</v>
      </c>
    </row>
    <row r="9" spans="1:5" x14ac:dyDescent="0.2">
      <c r="A9" s="51" t="s">
        <v>329</v>
      </c>
      <c r="B9" s="52"/>
      <c r="C9" s="53"/>
      <c r="D9" s="44">
        <f ca="1">SUMPRODUCT((COUNTIFS(tblProjection[Cluster],tblClusters[Cluster],tblProjection[Statut],"Seuil depasse")&gt;0)*1)</f>
        <v>0</v>
      </c>
    </row>
    <row r="12" spans="1:5" ht="28" x14ac:dyDescent="0.2">
      <c r="A12" s="15" t="s">
        <v>295</v>
      </c>
      <c r="B12" s="15" t="s">
        <v>330</v>
      </c>
      <c r="C12" s="15" t="s">
        <v>331</v>
      </c>
      <c r="D12" s="15" t="s">
        <v>332</v>
      </c>
      <c r="E12" s="15" t="s">
        <v>333</v>
      </c>
    </row>
    <row r="13" spans="1:5" x14ac:dyDescent="0.2">
      <c r="A13" s="45">
        <f>Consolidation_Mensuelle!A5</f>
        <v>46388</v>
      </c>
      <c r="B13" s="40">
        <f>Consolidation_Mensuelle!I5</f>
        <v>1377</v>
      </c>
      <c r="C13" s="40">
        <f>Consolidation_Mensuelle!J5</f>
        <v>7809</v>
      </c>
      <c r="D13" s="40">
        <f>Consolidation_Mensuelle!L5</f>
        <v>810</v>
      </c>
      <c r="E13" s="40">
        <f>Consolidation_Mensuelle!K5</f>
        <v>9186</v>
      </c>
    </row>
    <row r="14" spans="1:5" x14ac:dyDescent="0.2">
      <c r="A14" s="45">
        <f>Consolidation_Mensuelle!A6</f>
        <v>46419</v>
      </c>
      <c r="B14" s="40">
        <f>Consolidation_Mensuelle!I6</f>
        <v>1932</v>
      </c>
      <c r="C14" s="40">
        <f>Consolidation_Mensuelle!J6</f>
        <v>6999</v>
      </c>
      <c r="D14" s="40">
        <f>Consolidation_Mensuelle!L6</f>
        <v>660</v>
      </c>
      <c r="E14" s="40">
        <f>Consolidation_Mensuelle!K6</f>
        <v>8931</v>
      </c>
    </row>
    <row r="15" spans="1:5" x14ac:dyDescent="0.2">
      <c r="A15" s="45">
        <f>Consolidation_Mensuelle!A7</f>
        <v>46447</v>
      </c>
      <c r="B15" s="40">
        <f>Consolidation_Mensuelle!I7</f>
        <v>3246</v>
      </c>
      <c r="C15" s="40">
        <f>Consolidation_Mensuelle!J7</f>
        <v>6339</v>
      </c>
      <c r="D15" s="40">
        <f>Consolidation_Mensuelle!L7</f>
        <v>1563</v>
      </c>
      <c r="E15" s="40">
        <f>Consolidation_Mensuelle!K7</f>
        <v>9585</v>
      </c>
    </row>
    <row r="16" spans="1:5" x14ac:dyDescent="0.2">
      <c r="A16" s="45">
        <f>Consolidation_Mensuelle!A8</f>
        <v>46478</v>
      </c>
      <c r="B16" s="40">
        <f>Consolidation_Mensuelle!I8</f>
        <v>4593</v>
      </c>
      <c r="C16" s="40">
        <f>Consolidation_Mensuelle!J8</f>
        <v>4776</v>
      </c>
      <c r="D16" s="40">
        <f>Consolidation_Mensuelle!L8</f>
        <v>1602</v>
      </c>
      <c r="E16" s="40">
        <f>Consolidation_Mensuelle!K8</f>
        <v>9369</v>
      </c>
    </row>
    <row r="17" spans="1:5" x14ac:dyDescent="0.2">
      <c r="A17" s="45">
        <f>Consolidation_Mensuelle!A9</f>
        <v>46508</v>
      </c>
      <c r="B17" s="40">
        <f>Consolidation_Mensuelle!I9</f>
        <v>6681</v>
      </c>
      <c r="C17" s="40">
        <f>Consolidation_Mensuelle!J9</f>
        <v>3174</v>
      </c>
      <c r="D17" s="40">
        <f>Consolidation_Mensuelle!L9</f>
        <v>2484</v>
      </c>
      <c r="E17" s="40">
        <f>Consolidation_Mensuelle!K9</f>
        <v>9855</v>
      </c>
    </row>
    <row r="18" spans="1:5" x14ac:dyDescent="0.2">
      <c r="A18" s="45">
        <f>Consolidation_Mensuelle!A10</f>
        <v>46539</v>
      </c>
      <c r="B18" s="40">
        <f>Consolidation_Mensuelle!I10</f>
        <v>7261</v>
      </c>
      <c r="C18" s="40">
        <f>Consolidation_Mensuelle!J10</f>
        <v>3174</v>
      </c>
      <c r="D18" s="40">
        <f>Consolidation_Mensuelle!L10</f>
        <v>3174</v>
      </c>
      <c r="E18" s="40">
        <f>Consolidation_Mensuelle!K10</f>
        <v>10435</v>
      </c>
    </row>
    <row r="19" spans="1:5" x14ac:dyDescent="0.2">
      <c r="A19" s="45">
        <f>Consolidation_Mensuelle!A11</f>
        <v>46569</v>
      </c>
      <c r="B19" s="40">
        <f>Consolidation_Mensuelle!I11</f>
        <v>7261</v>
      </c>
      <c r="C19" s="40">
        <f>Consolidation_Mensuelle!J11</f>
        <v>0</v>
      </c>
      <c r="D19" s="40">
        <f>Consolidation_Mensuelle!L11</f>
        <v>0</v>
      </c>
      <c r="E19" s="40">
        <f>Consolidation_Mensuelle!K11</f>
        <v>7261</v>
      </c>
    </row>
    <row r="20" spans="1:5" x14ac:dyDescent="0.2">
      <c r="A20" s="45">
        <f>Consolidation_Mensuelle!A12</f>
        <v>46600</v>
      </c>
      <c r="B20" s="40">
        <f>Consolidation_Mensuelle!I12</f>
        <v>7261</v>
      </c>
      <c r="C20" s="40">
        <f>Consolidation_Mensuelle!J12</f>
        <v>0</v>
      </c>
      <c r="D20" s="40">
        <f>Consolidation_Mensuelle!L12</f>
        <v>0</v>
      </c>
      <c r="E20" s="40">
        <f>Consolidation_Mensuelle!K12</f>
        <v>7261</v>
      </c>
    </row>
    <row r="21" spans="1:5" x14ac:dyDescent="0.2">
      <c r="A21" s="45">
        <f>Consolidation_Mensuelle!A13</f>
        <v>46631</v>
      </c>
      <c r="B21" s="40">
        <f>Consolidation_Mensuelle!I13</f>
        <v>7261</v>
      </c>
      <c r="C21" s="40">
        <f>Consolidation_Mensuelle!J13</f>
        <v>0</v>
      </c>
      <c r="D21" s="40">
        <f>Consolidation_Mensuelle!L13</f>
        <v>0</v>
      </c>
      <c r="E21" s="40">
        <f>Consolidation_Mensuelle!K13</f>
        <v>7261</v>
      </c>
    </row>
    <row r="22" spans="1:5" x14ac:dyDescent="0.2">
      <c r="A22" s="45">
        <f>Consolidation_Mensuelle!A14</f>
        <v>46661</v>
      </c>
      <c r="B22" s="40">
        <f>Consolidation_Mensuelle!I14</f>
        <v>7261</v>
      </c>
      <c r="C22" s="40">
        <f>Consolidation_Mensuelle!J14</f>
        <v>0</v>
      </c>
      <c r="D22" s="40">
        <f>Consolidation_Mensuelle!L14</f>
        <v>0</v>
      </c>
      <c r="E22" s="40">
        <f>Consolidation_Mensuelle!K14</f>
        <v>7261</v>
      </c>
    </row>
    <row r="23" spans="1:5" x14ac:dyDescent="0.2">
      <c r="A23" s="45">
        <f>Consolidation_Mensuelle!A15</f>
        <v>46692</v>
      </c>
      <c r="B23" s="40">
        <f>Consolidation_Mensuelle!I15</f>
        <v>7261</v>
      </c>
      <c r="C23" s="40">
        <f>Consolidation_Mensuelle!J15</f>
        <v>0</v>
      </c>
      <c r="D23" s="40">
        <f>Consolidation_Mensuelle!L15</f>
        <v>0</v>
      </c>
      <c r="E23" s="40">
        <f>Consolidation_Mensuelle!K15</f>
        <v>7261</v>
      </c>
    </row>
    <row r="24" spans="1:5" x14ac:dyDescent="0.2">
      <c r="A24" s="45">
        <f>Consolidation_Mensuelle!A16</f>
        <v>46722</v>
      </c>
      <c r="B24" s="40">
        <f>Consolidation_Mensuelle!I16</f>
        <v>7261</v>
      </c>
      <c r="C24" s="40">
        <f>Consolidation_Mensuelle!J16</f>
        <v>0</v>
      </c>
      <c r="D24" s="40">
        <f>Consolidation_Mensuelle!L16</f>
        <v>0</v>
      </c>
      <c r="E24" s="40">
        <f>Consolidation_Mensuelle!K16</f>
        <v>7261</v>
      </c>
    </row>
  </sheetData>
  <mergeCells count="5">
    <mergeCell ref="A5:C5"/>
    <mergeCell ref="A8:C8"/>
    <mergeCell ref="A6:C6"/>
    <mergeCell ref="A9:C9"/>
    <mergeCell ref="A7:C7"/>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10</vt:i4>
      </vt:variant>
    </vt:vector>
  </HeadingPairs>
  <TitlesOfParts>
    <vt:vector size="10" baseType="lpstr">
      <vt:lpstr>Legende</vt:lpstr>
      <vt:lpstr>Dynatrace_Extract</vt:lpstr>
      <vt:lpstr>Tarifs_ABS</vt:lpstr>
      <vt:lpstr>Flavors_Catalogue</vt:lpstr>
      <vt:lpstr>Clusters_ROKS</vt:lpstr>
      <vt:lpstr>Regles_Selection_Cluster</vt:lpstr>
      <vt:lpstr>Inventaire</vt:lpstr>
      <vt:lpstr>Projection_Clusters</vt:lpstr>
      <vt:lpstr>Consolidation_Mensuelle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MANZAT .</cp:lastModifiedBy>
  <dcterms:created xsi:type="dcterms:W3CDTF">2026-09-17T22:29:14Z</dcterms:created>
  <dcterms:modified xsi:type="dcterms:W3CDTF">2026-09-18T06:39:28Z</dcterms:modified>
</cp:coreProperties>
</file>